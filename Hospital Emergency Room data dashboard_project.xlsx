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931f040589724563/Desktop/excel/"/>
    </mc:Choice>
  </mc:AlternateContent>
  <xr:revisionPtr revIDLastSave="1009" documentId="8_{1AA14FB4-AAC8-4A6E-9C69-C08EC2488A73}" xr6:coauthVersionLast="47" xr6:coauthVersionMax="47" xr10:uidLastSave="{29C462F0-B6C0-446B-BB0A-A4E57F3E9682}"/>
  <bookViews>
    <workbookView xWindow="-108" yWindow="-108" windowWidth="23256" windowHeight="12456" activeTab="1" xr2:uid="{A723B376-9B39-4E53-B14E-360BA9BA67E6}"/>
  </bookViews>
  <sheets>
    <sheet name="Pivot Report" sheetId="1" r:id="rId1"/>
    <sheet name="Dashboard" sheetId="2" r:id="rId2"/>
    <sheet name="Daily ER no of patient" sheetId="4" r:id="rId3"/>
    <sheet name="Patient wait time" sheetId="5" r:id="rId4"/>
    <sheet name="Patient satisfaction score" sheetId="7"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5d62412-7022-4dda-8c6e-f57a28a5b6fc" name="Hospital Emergency Room Data" connection="Query - Hospital Emergency Room Data"/>
          <x15:modelTable id="Calendar_Table_60f173fe-1600-42ed-9625-79a1c1cc9105"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58" i="1" l="1"/>
  <c r="C58" i="1"/>
  <c r="B57" i="1"/>
  <c r="C57" i="1"/>
  <c r="A57" i="1"/>
  <c r="A5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1D9435-0628-4386-943C-3FBA03E5DF7C}" name="Query - Calendar_Table" description="Connection to the 'Calendar_Table' query in the workbook." type="100" refreshedVersion="8" minRefreshableVersion="5">
    <extLst>
      <ext xmlns:x15="http://schemas.microsoft.com/office/spreadsheetml/2010/11/main" uri="{DE250136-89BD-433C-8126-D09CA5730AF9}">
        <x15:connection id="51b9fa6b-8ed1-4955-9a33-b75ee2940ea1"/>
      </ext>
    </extLst>
  </connection>
  <connection id="2" xr16:uid="{308ADFAD-2A93-4627-B00B-683F48F777A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e938315-b7fc-46cf-8428-9875dbd6dc2a"/>
      </ext>
    </extLst>
  </connection>
  <connection id="3" xr16:uid="{C93EFEBD-096C-43E7-B777-17A1930894C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<sst xmlns="http://schemas.openxmlformats.org/spreadsheetml/2006/main" count="156" uniqueCount="76">
  <si>
    <t>no.of patients</t>
  </si>
  <si>
    <t>Distinct Count of Patient Id</t>
  </si>
  <si>
    <t>Average of Patient Waittime</t>
  </si>
  <si>
    <t>Admitted</t>
  </si>
  <si>
    <t>Not Admitted</t>
  </si>
  <si>
    <t>Average of Patient Satisfaction Score</t>
  </si>
  <si>
    <t>Row Labels</t>
  </si>
  <si>
    <t>Grand Total</t>
  </si>
  <si>
    <t>no of patients</t>
  </si>
  <si>
    <t>patient waittime</t>
  </si>
  <si>
    <t>patient satisfaction score</t>
  </si>
  <si>
    <t>Count of Patient Admission Flag2</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</si>
  <si>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</si>
  <si>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</si>
  <si>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</si>
  <si>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</si>
  <si>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</si>
  <si>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</si>
  <si>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</si>
  <si>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</si>
  <si>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</si>
  <si>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</si>
  <si>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</si>
  <si>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</si>
  <si>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</si>
  <si>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</si>
  <si>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</si>
  <si>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</si>
  <si>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</si>
  <si>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</si>
  <si>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</si>
  <si>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</si>
  <si>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</si>
  <si>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</si>
  <si>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</si>
  <si>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</si>
  <si>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</si>
  <si>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</si>
  <si>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</si>
  <si>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</si>
  <si>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</si>
  <si>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</si>
  <si>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</si>
  <si>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Count of Patient Admission Flag</t>
  </si>
  <si>
    <t>Admission Status</t>
  </si>
  <si>
    <t>%Status</t>
  </si>
  <si>
    <t>no. of patient</t>
  </si>
  <si>
    <t>Count of Patient Age</t>
  </si>
  <si>
    <t>0-09</t>
  </si>
  <si>
    <t>10-19</t>
  </si>
  <si>
    <t>20-29</t>
  </si>
  <si>
    <t>30-39</t>
  </si>
  <si>
    <t>40-49</t>
  </si>
  <si>
    <t>50-59</t>
  </si>
  <si>
    <t>60-69</t>
  </si>
  <si>
    <t>70-79</t>
  </si>
  <si>
    <t>Age group analysis</t>
  </si>
  <si>
    <t>Ontime</t>
  </si>
  <si>
    <t>Delay</t>
  </si>
  <si>
    <t>Count of Patient Waittime</t>
  </si>
  <si>
    <t>Row labels</t>
  </si>
  <si>
    <t>attend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</si>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</sst>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3" tint="0.499984740745262"/>
        <bgColor indexed="64"/>
      </patternFill>
    </fill>
    <fill>
      <patternFill patternType="solid">
        <fgColor theme="0" tint="-0.14999847407452621"/>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2" fillId="4" borderId="1" xfId="0" applyFont="1" applyFill="1" applyBorder="1"/>
    <xf numFmtId="10" fontId="0" fillId="0" borderId="0" xfId="0" applyNumberFormat="1"/>
    <xf numFmtId="0" fontId="0" fillId="5" borderId="0" xfId="0" applyFill="1"/>
    <xf numFmtId="0" fontId="0" fillId="5" borderId="0" xfId="0" applyFill="1" applyAlignment="1">
      <alignment horizontal="center"/>
    </xf>
    <xf numFmtId="0" fontId="0" fillId="6" borderId="0" xfId="0" applyFill="1" applyAlignment="1">
      <alignment horizontal="center"/>
    </xf>
    <xf numFmtId="9" fontId="0" fillId="6" borderId="0" xfId="1" applyFont="1" applyFill="1" applyAlignment="1">
      <alignment horizontal="center"/>
    </xf>
    <xf numFmtId="0" fontId="0" fillId="6" borderId="0" xfId="0" applyFill="1"/>
  </cellXfs>
  <cellStyles count="2">
    <cellStyle name="Normal" xfId="0" builtinId="0"/>
    <cellStyle name="Percent" xfId="1" builtinId="5"/>
  </cellStyles>
  <dxfs count="7">
    <dxf>
      <numFmt numFmtId="2" formatCode="0.00"/>
    </dxf>
    <dxf>
      <numFmt numFmtId="164" formatCode="0.0000000"/>
    </dxf>
    <dxf>
      <numFmt numFmtId="2" formatCode="0.00"/>
    </dxf>
    <dxf>
      <numFmt numFmtId="2" formatCode="0.00"/>
    </dxf>
    <dxf>
      <numFmt numFmtId="164" formatCode="0.0000000"/>
    </dxf>
    <dxf>
      <numFmt numFmtId="2" formatCode="0.00"/>
    </dxf>
    <dxf>
      <font>
        <sz val="8"/>
      </font>
      <fill>
        <patternFill>
          <bgColor theme="0"/>
        </patternFill>
      </fill>
      <border diagonalUp="0" diagonalDown="0">
        <left/>
        <right/>
        <top/>
        <bottom/>
        <vertical/>
        <horizontal/>
      </border>
    </dxf>
  </dxfs>
  <tableStyles count="1" defaultTableStyle="TableStyleMedium2" defaultPivotStyle="PivotStyleLight16">
    <tableStyle name="my style" pivot="0" table="0" count="1" xr9:uid="{0740514A-9856-47A4-AF2C-EECB3EA1CE22}">
      <tableStyleElement type="wholeTable" dxfId="6"/>
    </tableStyle>
  </tableStyles>
  <extLst>
    <ext xmlns:x14="http://schemas.microsoft.com/office/spreadsheetml/2009/9/main" uri="{EB79DEF2-80B8-43e5-95BD-54CBDDF9020C}">
      <x14:slicerStyles defaultSlicerStyle="SlicerStyleLight1">
        <x14:slicerStyle name="my 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dashboard_project.xlsx]Pivot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1.4000000000000005E-2"/>
          <c:y val="2.1348341048993601E-2"/>
          <c:w val="0.98599979696299378"/>
          <c:h val="0.97865165895100636"/>
        </c:manualLayout>
      </c:layout>
      <c:barChart>
        <c:barDir val="bar"/>
        <c:grouping val="clustered"/>
        <c:varyColors val="0"/>
        <c:ser>
          <c:idx val="0"/>
          <c:order val="0"/>
          <c:tx>
            <c:strRef>
              <c:f>'Pivot Report'!$B$47</c:f>
              <c:strCache>
                <c:ptCount val="1"/>
                <c:pt idx="0">
                  <c:v>Count of Patient Admission Flag</c:v>
                </c:pt>
              </c:strCache>
            </c:strRef>
          </c:tx>
          <c:spPr>
            <a:solidFill>
              <a:schemeClr val="accent1"/>
            </a:solidFill>
            <a:ln>
              <a:noFill/>
            </a:ln>
            <a:effectLst/>
          </c:spPr>
          <c:invertIfNegative val="0"/>
          <c:cat>
            <c:strRef>
              <c:f>'Pivot Report'!$A$48:$A$50</c:f>
              <c:strCache>
                <c:ptCount val="2"/>
                <c:pt idx="0">
                  <c:v>Admitted</c:v>
                </c:pt>
                <c:pt idx="1">
                  <c:v>Not Admitted</c:v>
                </c:pt>
              </c:strCache>
            </c:strRef>
          </c:cat>
          <c:val>
            <c:numRef>
              <c:f>'Pivot Report'!$B$48:$B$50</c:f>
              <c:numCache>
                <c:formatCode>General</c:formatCode>
                <c:ptCount val="2"/>
                <c:pt idx="0">
                  <c:v>269</c:v>
                </c:pt>
                <c:pt idx="1">
                  <c:v>244</c:v>
                </c:pt>
              </c:numCache>
            </c:numRef>
          </c:val>
          <c:extLst>
            <c:ext xmlns:c16="http://schemas.microsoft.com/office/drawing/2014/chart" uri="{C3380CC4-5D6E-409C-BE32-E72D297353CC}">
              <c16:uniqueId val="{00000007-5102-4004-A4D4-D2FD41748687}"/>
            </c:ext>
          </c:extLst>
        </c:ser>
        <c:ser>
          <c:idx val="1"/>
          <c:order val="1"/>
          <c:tx>
            <c:strRef>
              <c:f>'Pivot Report'!$C$47</c:f>
              <c:strCache>
                <c:ptCount val="1"/>
                <c:pt idx="0">
                  <c:v>Count of Patient Admission Flag2</c:v>
                </c:pt>
              </c:strCache>
            </c:strRef>
          </c:tx>
          <c:spPr>
            <a:solidFill>
              <a:schemeClr val="accent2"/>
            </a:solidFill>
            <a:ln>
              <a:noFill/>
            </a:ln>
            <a:effectLst/>
          </c:spPr>
          <c:invertIfNegative val="0"/>
          <c:cat>
            <c:strRef>
              <c:f>'Pivot Report'!$A$48:$A$50</c:f>
              <c:strCache>
                <c:ptCount val="2"/>
                <c:pt idx="0">
                  <c:v>Admitted</c:v>
                </c:pt>
                <c:pt idx="1">
                  <c:v>Not Admitted</c:v>
                </c:pt>
              </c:strCache>
            </c:strRef>
          </c:cat>
          <c:val>
            <c:numRef>
              <c:f>'Pivot Report'!$C$48:$C$50</c:f>
              <c:numCache>
                <c:formatCode>0.00%</c:formatCode>
                <c:ptCount val="2"/>
                <c:pt idx="0">
                  <c:v>0.52436647173489281</c:v>
                </c:pt>
                <c:pt idx="1">
                  <c:v>0.47563352826510719</c:v>
                </c:pt>
              </c:numCache>
            </c:numRef>
          </c:val>
          <c:extLst>
            <c:ext xmlns:c16="http://schemas.microsoft.com/office/drawing/2014/chart" uri="{C3380CC4-5D6E-409C-BE32-E72D297353CC}">
              <c16:uniqueId val="{00000008-5102-4004-A4D4-D2FD41748687}"/>
            </c:ext>
          </c:extLst>
        </c:ser>
        <c:dLbls>
          <c:showLegendKey val="0"/>
          <c:showVal val="0"/>
          <c:showCatName val="0"/>
          <c:showSerName val="0"/>
          <c:showPercent val="0"/>
          <c:showBubbleSize val="0"/>
        </c:dLbls>
        <c:gapWidth val="0"/>
        <c:axId val="2018859488"/>
        <c:axId val="2018859968"/>
      </c:barChart>
      <c:catAx>
        <c:axId val="2018859488"/>
        <c:scaling>
          <c:orientation val="minMax"/>
        </c:scaling>
        <c:delete val="1"/>
        <c:axPos val="l"/>
        <c:numFmt formatCode="General" sourceLinked="1"/>
        <c:majorTickMark val="none"/>
        <c:minorTickMark val="none"/>
        <c:tickLblPos val="nextTo"/>
        <c:crossAx val="2018859968"/>
        <c:crosses val="autoZero"/>
        <c:auto val="1"/>
        <c:lblAlgn val="ctr"/>
        <c:lblOffset val="100"/>
        <c:noMultiLvlLbl val="0"/>
      </c:catAx>
      <c:valAx>
        <c:axId val="2018859968"/>
        <c:scaling>
          <c:orientation val="minMax"/>
        </c:scaling>
        <c:delete val="1"/>
        <c:axPos val="b"/>
        <c:numFmt formatCode="General" sourceLinked="1"/>
        <c:majorTickMark val="none"/>
        <c:minorTickMark val="none"/>
        <c:tickLblPos val="nextTo"/>
        <c:crossAx val="201885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dashboard_project.xlsx]Pivot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398100787053796E-2"/>
          <c:y val="0"/>
          <c:w val="0.97134095794560671"/>
          <c:h val="0.97240737583524539"/>
        </c:manualLayout>
      </c:layout>
      <c:areaChart>
        <c:grouping val="standard"/>
        <c:varyColors val="0"/>
        <c:ser>
          <c:idx val="0"/>
          <c:order val="0"/>
          <c:tx>
            <c:strRef>
              <c:f>'Pivot Report'!$G$8</c:f>
              <c:strCache>
                <c:ptCount val="1"/>
                <c:pt idx="0">
                  <c:v>Total</c:v>
                </c:pt>
              </c:strCache>
            </c:strRef>
          </c:tx>
          <c:spPr>
            <a:solidFill>
              <a:schemeClr val="accent1"/>
            </a:solidFill>
            <a:ln w="25400">
              <a:noFill/>
            </a:ln>
            <a:effectLst/>
          </c:spPr>
          <c:cat>
            <c:strRef>
              <c:f>'Pivot Report'!$F$9:$F$40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Report'!$G$9:$G$40</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A76F-4A75-B158-9DA74B88223D}"/>
            </c:ext>
          </c:extLst>
        </c:ser>
        <c:dLbls>
          <c:showLegendKey val="0"/>
          <c:showVal val="0"/>
          <c:showCatName val="0"/>
          <c:showSerName val="0"/>
          <c:showPercent val="0"/>
          <c:showBubbleSize val="0"/>
        </c:dLbls>
        <c:axId val="1634668480"/>
        <c:axId val="1634666560"/>
      </c:areaChart>
      <c:catAx>
        <c:axId val="1634668480"/>
        <c:scaling>
          <c:orientation val="minMax"/>
        </c:scaling>
        <c:delete val="1"/>
        <c:axPos val="b"/>
        <c:numFmt formatCode="General" sourceLinked="1"/>
        <c:majorTickMark val="out"/>
        <c:minorTickMark val="none"/>
        <c:tickLblPos val="nextTo"/>
        <c:crossAx val="1634666560"/>
        <c:crosses val="autoZero"/>
        <c:auto val="1"/>
        <c:lblAlgn val="ctr"/>
        <c:lblOffset val="100"/>
        <c:noMultiLvlLbl val="0"/>
      </c:catAx>
      <c:valAx>
        <c:axId val="1634666560"/>
        <c:scaling>
          <c:orientation val="minMax"/>
        </c:scaling>
        <c:delete val="1"/>
        <c:axPos val="l"/>
        <c:numFmt formatCode="General" sourceLinked="1"/>
        <c:majorTickMark val="none"/>
        <c:minorTickMark val="none"/>
        <c:tickLblPos val="nextTo"/>
        <c:crossAx val="16346684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dashboard_project.xlsx]Pivot Report!PivotTable5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666967277885157E-3"/>
          <c:y val="0.13360504428266232"/>
          <c:w val="0.98263368261146511"/>
          <c:h val="0.8663949557173376"/>
        </c:manualLayout>
      </c:layout>
      <c:areaChart>
        <c:grouping val="standard"/>
        <c:varyColors val="0"/>
        <c:ser>
          <c:idx val="0"/>
          <c:order val="0"/>
          <c:tx>
            <c:strRef>
              <c:f>'Pivot Report'!$J$8</c:f>
              <c:strCache>
                <c:ptCount val="1"/>
                <c:pt idx="0">
                  <c:v>Total</c:v>
                </c:pt>
              </c:strCache>
            </c:strRef>
          </c:tx>
          <c:spPr>
            <a:solidFill>
              <a:schemeClr val="accent1"/>
            </a:solidFill>
            <a:ln w="25400">
              <a:noFill/>
            </a:ln>
            <a:effectLst/>
          </c:spPr>
          <c:cat>
            <c:strRef>
              <c:f>'Pivot Report'!$I$9:$I$40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Report'!$J$9:$J$40</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ECFF-441A-9E24-7EA083597370}"/>
            </c:ext>
          </c:extLst>
        </c:ser>
        <c:dLbls>
          <c:showLegendKey val="0"/>
          <c:showVal val="0"/>
          <c:showCatName val="0"/>
          <c:showSerName val="0"/>
          <c:showPercent val="0"/>
          <c:showBubbleSize val="0"/>
        </c:dLbls>
        <c:axId val="1594314096"/>
        <c:axId val="1594315536"/>
      </c:areaChart>
      <c:catAx>
        <c:axId val="1594314096"/>
        <c:scaling>
          <c:orientation val="minMax"/>
        </c:scaling>
        <c:delete val="1"/>
        <c:axPos val="b"/>
        <c:numFmt formatCode="General" sourceLinked="1"/>
        <c:majorTickMark val="out"/>
        <c:minorTickMark val="none"/>
        <c:tickLblPos val="nextTo"/>
        <c:crossAx val="1594315536"/>
        <c:crosses val="autoZero"/>
        <c:auto val="1"/>
        <c:lblAlgn val="ctr"/>
        <c:lblOffset val="100"/>
        <c:noMultiLvlLbl val="0"/>
      </c:catAx>
      <c:valAx>
        <c:axId val="1594315536"/>
        <c:scaling>
          <c:orientation val="minMax"/>
        </c:scaling>
        <c:delete val="1"/>
        <c:axPos val="l"/>
        <c:numFmt formatCode="0.00" sourceLinked="1"/>
        <c:majorTickMark val="none"/>
        <c:minorTickMark val="none"/>
        <c:tickLblPos val="nextTo"/>
        <c:crossAx val="15943140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dashboard_project.xlsx]Pivot Report!PivotTable6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3333333333332E-3"/>
          <c:y val="2.903222119352147E-2"/>
          <c:w val="0.97681044814985818"/>
          <c:h val="0.97096777880647855"/>
        </c:manualLayout>
      </c:layout>
      <c:areaChart>
        <c:grouping val="standard"/>
        <c:varyColors val="0"/>
        <c:ser>
          <c:idx val="0"/>
          <c:order val="0"/>
          <c:tx>
            <c:strRef>
              <c:f>'Pivot Report'!$M$8</c:f>
              <c:strCache>
                <c:ptCount val="1"/>
                <c:pt idx="0">
                  <c:v>Total</c:v>
                </c:pt>
              </c:strCache>
            </c:strRef>
          </c:tx>
          <c:spPr>
            <a:solidFill>
              <a:schemeClr val="accent1"/>
            </a:solidFill>
            <a:ln w="25400">
              <a:noFill/>
            </a:ln>
            <a:effectLst/>
          </c:spPr>
          <c:cat>
            <c:strRef>
              <c:f>'Pivot Report'!$L$9:$L$40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Report'!$M$9:$M$40</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AAEA-4798-A96B-B427C1D42E63}"/>
            </c:ext>
          </c:extLst>
        </c:ser>
        <c:dLbls>
          <c:showLegendKey val="0"/>
          <c:showVal val="0"/>
          <c:showCatName val="0"/>
          <c:showSerName val="0"/>
          <c:showPercent val="0"/>
          <c:showBubbleSize val="0"/>
        </c:dLbls>
        <c:axId val="269902432"/>
        <c:axId val="269916832"/>
      </c:areaChart>
      <c:catAx>
        <c:axId val="269902432"/>
        <c:scaling>
          <c:orientation val="minMax"/>
        </c:scaling>
        <c:delete val="1"/>
        <c:axPos val="b"/>
        <c:numFmt formatCode="General" sourceLinked="1"/>
        <c:majorTickMark val="out"/>
        <c:minorTickMark val="none"/>
        <c:tickLblPos val="nextTo"/>
        <c:crossAx val="269916832"/>
        <c:crosses val="autoZero"/>
        <c:auto val="1"/>
        <c:lblAlgn val="ctr"/>
        <c:lblOffset val="100"/>
        <c:noMultiLvlLbl val="0"/>
      </c:catAx>
      <c:valAx>
        <c:axId val="269916832"/>
        <c:scaling>
          <c:orientation val="minMax"/>
        </c:scaling>
        <c:delete val="1"/>
        <c:axPos val="l"/>
        <c:numFmt formatCode="0.00" sourceLinked="1"/>
        <c:majorTickMark val="none"/>
        <c:minorTickMark val="none"/>
        <c:tickLblPos val="nextTo"/>
        <c:crossAx val="2699024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dashboard_project.xlsx]Pivot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714284662469184E-2"/>
          <c:y val="1.8947362139291459E-2"/>
          <c:w val="0.94857143067506167"/>
          <c:h val="0.80940594797979348"/>
        </c:manualLayout>
      </c:layout>
      <c:barChart>
        <c:barDir val="col"/>
        <c:grouping val="clustered"/>
        <c:varyColors val="0"/>
        <c:ser>
          <c:idx val="0"/>
          <c:order val="0"/>
          <c:tx>
            <c:strRef>
              <c:f>'Pivot Report'!$B$62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Report'!$A$63:$A$71</c:f>
              <c:strCache>
                <c:ptCount val="8"/>
                <c:pt idx="0">
                  <c:v>0-09</c:v>
                </c:pt>
                <c:pt idx="1">
                  <c:v>10-19</c:v>
                </c:pt>
                <c:pt idx="2">
                  <c:v>20-29</c:v>
                </c:pt>
                <c:pt idx="3">
                  <c:v>30-39</c:v>
                </c:pt>
                <c:pt idx="4">
                  <c:v>40-49</c:v>
                </c:pt>
                <c:pt idx="5">
                  <c:v>50-59</c:v>
                </c:pt>
                <c:pt idx="6">
                  <c:v>60-69</c:v>
                </c:pt>
                <c:pt idx="7">
                  <c:v>70-79</c:v>
                </c:pt>
              </c:strCache>
            </c:strRef>
          </c:cat>
          <c:val>
            <c:numRef>
              <c:f>'Pivot Report'!$B$63:$B$71</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6F1F-4E04-8C0E-6E3F3E910574}"/>
            </c:ext>
          </c:extLst>
        </c:ser>
        <c:dLbls>
          <c:showLegendKey val="0"/>
          <c:showVal val="0"/>
          <c:showCatName val="0"/>
          <c:showSerName val="0"/>
          <c:showPercent val="0"/>
          <c:showBubbleSize val="0"/>
        </c:dLbls>
        <c:gapWidth val="219"/>
        <c:overlap val="-27"/>
        <c:axId val="10497744"/>
        <c:axId val="10481424"/>
      </c:barChart>
      <c:catAx>
        <c:axId val="1049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1424"/>
        <c:crosses val="autoZero"/>
        <c:auto val="1"/>
        <c:lblAlgn val="ctr"/>
        <c:lblOffset val="100"/>
        <c:noMultiLvlLbl val="0"/>
      </c:catAx>
      <c:valAx>
        <c:axId val="10481424"/>
        <c:scaling>
          <c:orientation val="minMax"/>
        </c:scaling>
        <c:delete val="1"/>
        <c:axPos val="l"/>
        <c:numFmt formatCode="General" sourceLinked="1"/>
        <c:majorTickMark val="none"/>
        <c:minorTickMark val="none"/>
        <c:tickLblPos val="nextTo"/>
        <c:crossAx val="1049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dashboard_project.xlsx]Pivot Report!PivotTable9</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92497812773402"/>
              <c:y val="6.1536526684164476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48031496062993"/>
              <c:y val="-0.10320282881306503"/>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48031496062993"/>
              <c:y val="-0.10320282881306503"/>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92497812773402"/>
              <c:y val="6.1536526684164476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48031496062993"/>
              <c:y val="-0.10320282881306503"/>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119884899116642"/>
              <c:y val="6.8083785752545228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477553229825257"/>
          <c:y val="0.19017093238607038"/>
          <c:w val="0.60820823208455699"/>
          <c:h val="0.71842730060418369"/>
        </c:manualLayout>
      </c:layout>
      <c:pieChart>
        <c:varyColors val="1"/>
        <c:ser>
          <c:idx val="0"/>
          <c:order val="0"/>
          <c:tx>
            <c:strRef>
              <c:f>'Pivot Report'!$B$77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225-4FFB-A8A2-186A8B1EF3A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225-4FFB-A8A2-186A8B1EF3AE}"/>
              </c:ext>
            </c:extLst>
          </c:dPt>
          <c:dLbls>
            <c:dLbl>
              <c:idx val="0"/>
              <c:layout>
                <c:manualLayout>
                  <c:x val="-0.17248031496062993"/>
                  <c:y val="-0.1032028288130650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225-4FFB-A8A2-186A8B1EF3AE}"/>
                </c:ext>
              </c:extLst>
            </c:dLbl>
            <c:dLbl>
              <c:idx val="1"/>
              <c:layout>
                <c:manualLayout>
                  <c:x val="0.18119884899116642"/>
                  <c:y val="6.808378575254522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225-4FFB-A8A2-186A8B1EF3AE}"/>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Report'!$A$78:$A$80</c:f>
              <c:strCache>
                <c:ptCount val="2"/>
                <c:pt idx="0">
                  <c:v>Delay</c:v>
                </c:pt>
                <c:pt idx="1">
                  <c:v>Ontime</c:v>
                </c:pt>
              </c:strCache>
            </c:strRef>
          </c:cat>
          <c:val>
            <c:numRef>
              <c:f>'Pivot Report'!$B$78:$B$80</c:f>
              <c:numCache>
                <c:formatCode>General</c:formatCode>
                <c:ptCount val="2"/>
                <c:pt idx="0">
                  <c:v>316</c:v>
                </c:pt>
                <c:pt idx="1">
                  <c:v>197</c:v>
                </c:pt>
              </c:numCache>
            </c:numRef>
          </c:val>
          <c:extLst>
            <c:ext xmlns:c16="http://schemas.microsoft.com/office/drawing/2014/chart" uri="{C3380CC4-5D6E-409C-BE32-E72D297353CC}">
              <c16:uniqueId val="{00000007-33AA-40B8-86DB-7D59AEE999A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159312054204414"/>
          <c:y val="5.6462226969666816E-2"/>
          <c:w val="0.72447120442055013"/>
          <c:h val="0.10995479731700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dashboard_project.xlsx]Pivot Report!PivotTable10</c:name>
    <c:fmtId val="18"/>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071044320935478"/>
          <c:y val="0.18554681519886509"/>
          <c:w val="0.62120509024956394"/>
          <c:h val="0.74632135311948222"/>
        </c:manualLayout>
      </c:layout>
      <c:doughnutChart>
        <c:varyColors val="1"/>
        <c:ser>
          <c:idx val="0"/>
          <c:order val="0"/>
          <c:tx>
            <c:strRef>
              <c:f>'Pivot Report'!$B$83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384-4E2A-85B1-5F120ADE507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384-4E2A-85B1-5F120ADE50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Report'!$A$84:$A$86</c:f>
              <c:strCache>
                <c:ptCount val="2"/>
                <c:pt idx="0">
                  <c:v>Female</c:v>
                </c:pt>
                <c:pt idx="1">
                  <c:v>Male</c:v>
                </c:pt>
              </c:strCache>
            </c:strRef>
          </c:cat>
          <c:val>
            <c:numRef>
              <c:f>'Pivot Report'!$B$84:$B$86</c:f>
              <c:numCache>
                <c:formatCode>General</c:formatCode>
                <c:ptCount val="2"/>
                <c:pt idx="0">
                  <c:v>241</c:v>
                </c:pt>
                <c:pt idx="1">
                  <c:v>272</c:v>
                </c:pt>
              </c:numCache>
            </c:numRef>
          </c:val>
          <c:extLst>
            <c:ext xmlns:c16="http://schemas.microsoft.com/office/drawing/2014/chart" uri="{C3380CC4-5D6E-409C-BE32-E72D297353CC}">
              <c16:uniqueId val="{00000007-1477-4965-8DE1-F75F3FE0D0C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6034562216875045"/>
          <c:y val="2.4535049130973239E-2"/>
          <c:w val="0.63903678580302892"/>
          <c:h val="0.128338079146230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dashboard_project.xlsx]Pivot Report!PivotTable11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Report'!$A$91:$A$99</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Report'!$B$91:$B$99</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7755-4625-A870-E2F5FE30CE4F}"/>
            </c:ext>
          </c:extLst>
        </c:ser>
        <c:dLbls>
          <c:showLegendKey val="0"/>
          <c:showVal val="0"/>
          <c:showCatName val="0"/>
          <c:showSerName val="0"/>
          <c:showPercent val="0"/>
          <c:showBubbleSize val="0"/>
        </c:dLbls>
        <c:gapWidth val="27"/>
        <c:axId val="2040768480"/>
        <c:axId val="2040769920"/>
      </c:barChart>
      <c:catAx>
        <c:axId val="204076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769920"/>
        <c:crosses val="autoZero"/>
        <c:auto val="1"/>
        <c:lblAlgn val="ctr"/>
        <c:lblOffset val="100"/>
        <c:noMultiLvlLbl val="0"/>
      </c:catAx>
      <c:valAx>
        <c:axId val="2040769920"/>
        <c:scaling>
          <c:orientation val="minMax"/>
        </c:scaling>
        <c:delete val="1"/>
        <c:axPos val="b"/>
        <c:numFmt formatCode="General" sourceLinked="1"/>
        <c:majorTickMark val="none"/>
        <c:minorTickMark val="none"/>
        <c:tickLblPos val="nextTo"/>
        <c:crossAx val="204076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dashboard_project.xlsx]Pivot Report!PivotTable4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10994290453581E-2"/>
          <c:y val="9.0312458510779542E-2"/>
          <c:w val="0.94351505523122048"/>
          <c:h val="0.56798615153650545"/>
        </c:manualLayout>
      </c:layout>
      <c:areaChart>
        <c:grouping val="standard"/>
        <c:varyColors val="0"/>
        <c:ser>
          <c:idx val="0"/>
          <c:order val="0"/>
          <c:tx>
            <c:strRef>
              <c:f>'Pivot Report'!$G$8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Report'!$F$9:$F$40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Report'!$G$9:$G$40</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0961-48E7-8E48-174DB6DF321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34668480"/>
        <c:axId val="1634666560"/>
      </c:areaChart>
      <c:catAx>
        <c:axId val="16346684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34666560"/>
        <c:crosses val="autoZero"/>
        <c:auto val="1"/>
        <c:lblAlgn val="ctr"/>
        <c:lblOffset val="100"/>
        <c:noMultiLvlLbl val="0"/>
      </c:catAx>
      <c:valAx>
        <c:axId val="1634666560"/>
        <c:scaling>
          <c:orientation val="minMax"/>
        </c:scaling>
        <c:delete val="1"/>
        <c:axPos val="l"/>
        <c:numFmt formatCode="General" sourceLinked="1"/>
        <c:majorTickMark val="out"/>
        <c:minorTickMark val="none"/>
        <c:tickLblPos val="nextTo"/>
        <c:crossAx val="16346684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dashboard_project.xlsx]Pivot Report!PivotTable5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488010427268021E-2"/>
          <c:y val="6.213114089215669E-2"/>
          <c:w val="0.93676722949313873"/>
          <c:h val="0.8348458005249344"/>
        </c:manualLayout>
      </c:layout>
      <c:areaChart>
        <c:grouping val="standard"/>
        <c:varyColors val="0"/>
        <c:ser>
          <c:idx val="0"/>
          <c:order val="0"/>
          <c:tx>
            <c:strRef>
              <c:f>'Pivot Report'!$J$8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Report'!$I$9:$I$40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Report'!$J$9:$J$40</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4246-4C73-9B9E-BD0AFA55352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94314096"/>
        <c:axId val="1594315536"/>
      </c:areaChart>
      <c:catAx>
        <c:axId val="15943140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94315536"/>
        <c:crosses val="autoZero"/>
        <c:auto val="1"/>
        <c:lblAlgn val="ctr"/>
        <c:lblOffset val="100"/>
        <c:noMultiLvlLbl val="0"/>
      </c:catAx>
      <c:valAx>
        <c:axId val="1594315536"/>
        <c:scaling>
          <c:orientation val="minMax"/>
        </c:scaling>
        <c:delete val="1"/>
        <c:axPos val="l"/>
        <c:numFmt formatCode="0.00" sourceLinked="1"/>
        <c:majorTickMark val="out"/>
        <c:minorTickMark val="none"/>
        <c:tickLblPos val="nextTo"/>
        <c:crossAx val="15943140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 dashboard_project.xlsx]Pivot Report!PivotTable6</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29763087385261E-2"/>
          <c:y val="4.5695041368404576E-2"/>
          <c:w val="0.89596815150969056"/>
          <c:h val="0.77758712191401058"/>
        </c:manualLayout>
      </c:layout>
      <c:areaChart>
        <c:grouping val="standard"/>
        <c:varyColors val="0"/>
        <c:ser>
          <c:idx val="0"/>
          <c:order val="0"/>
          <c:tx>
            <c:strRef>
              <c:f>'Pivot Report'!$M$8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Report'!$L$9:$L$40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Report'!$M$9:$M$40</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9762-49F3-9C07-BECE73417CE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69902432"/>
        <c:axId val="269916832"/>
      </c:areaChart>
      <c:catAx>
        <c:axId val="26990243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69916832"/>
        <c:crosses val="autoZero"/>
        <c:auto val="1"/>
        <c:lblAlgn val="ctr"/>
        <c:lblOffset val="100"/>
        <c:noMultiLvlLbl val="0"/>
      </c:catAx>
      <c:valAx>
        <c:axId val="269916832"/>
        <c:scaling>
          <c:orientation val="minMax"/>
        </c:scaling>
        <c:delete val="1"/>
        <c:axPos val="l"/>
        <c:numFmt formatCode="0.00" sourceLinked="1"/>
        <c:majorTickMark val="out"/>
        <c:minorTickMark val="none"/>
        <c:tickLblPos val="nextTo"/>
        <c:crossAx val="2699024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hyperlink" Target="#Sheet2!A1"/><Relationship Id="rId7" Type="http://schemas.openxmlformats.org/officeDocument/2006/relationships/image" Target="../media/image6.svg"/><Relationship Id="rId12" Type="http://schemas.openxmlformats.org/officeDocument/2006/relationships/hyperlink" Target="#'Patient wait time'!A1"/><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image" Target="../media/image9.emf"/><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2.xml"/><Relationship Id="rId5" Type="http://schemas.openxmlformats.org/officeDocument/2006/relationships/image" Target="../media/image4.svg"/><Relationship Id="rId15" Type="http://schemas.openxmlformats.org/officeDocument/2006/relationships/chart" Target="../charts/chart4.xml"/><Relationship Id="rId10" Type="http://schemas.openxmlformats.org/officeDocument/2006/relationships/hyperlink" Target="#'Daily ER no of patient'!A1"/><Relationship Id="rId19" Type="http://schemas.openxmlformats.org/officeDocument/2006/relationships/chart" Target="../charts/chart8.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hyperlink" Target="#'Patient satisfaction score'!A1"/></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4.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0</xdr:colOff>
      <xdr:row>55</xdr:row>
      <xdr:rowOff>100261</xdr:rowOff>
    </xdr:from>
    <xdr:to>
      <xdr:col>3</xdr:col>
      <xdr:colOff>1189790</xdr:colOff>
      <xdr:row>57</xdr:row>
      <xdr:rowOff>180473</xdr:rowOff>
    </xdr:to>
    <xdr:graphicFrame macro="">
      <xdr:nvGraphicFramePr>
        <xdr:cNvPr id="2" name="Chart 1">
          <a:extLst>
            <a:ext uri="{FF2B5EF4-FFF2-40B4-BE49-F238E27FC236}">
              <a16:creationId xmlns:a16="http://schemas.microsoft.com/office/drawing/2014/main" id="{A842A803-825E-6C11-720C-954D7A44C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83330</xdr:colOff>
      <xdr:row>0</xdr:row>
      <xdr:rowOff>54783</xdr:rowOff>
    </xdr:from>
    <xdr:to>
      <xdr:col>5</xdr:col>
      <xdr:colOff>742137</xdr:colOff>
      <xdr:row>3</xdr:row>
      <xdr:rowOff>163166</xdr:rowOff>
    </xdr:to>
    <xdr:sp macro="" textlink="">
      <xdr:nvSpPr>
        <xdr:cNvPr id="3" name="Rectangle: Rounded Corners 2">
          <a:extLst>
            <a:ext uri="{FF2B5EF4-FFF2-40B4-BE49-F238E27FC236}">
              <a16:creationId xmlns:a16="http://schemas.microsoft.com/office/drawing/2014/main" id="{042AFA94-6C6D-0EBF-00C2-8D0036B94B48}"/>
            </a:ext>
          </a:extLst>
        </xdr:cNvPr>
        <xdr:cNvSpPr/>
      </xdr:nvSpPr>
      <xdr:spPr>
        <a:xfrm>
          <a:off x="83330" y="54783"/>
          <a:ext cx="5103807" cy="80688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826035</xdr:colOff>
      <xdr:row>0</xdr:row>
      <xdr:rowOff>49378</xdr:rowOff>
    </xdr:from>
    <xdr:to>
      <xdr:col>7</xdr:col>
      <xdr:colOff>589110</xdr:colOff>
      <xdr:row>3</xdr:row>
      <xdr:rowOff>157761</xdr:rowOff>
    </xdr:to>
    <xdr:sp macro="" textlink="">
      <xdr:nvSpPr>
        <xdr:cNvPr id="4" name="Rectangle: Rounded Corners 3">
          <a:extLst>
            <a:ext uri="{FF2B5EF4-FFF2-40B4-BE49-F238E27FC236}">
              <a16:creationId xmlns:a16="http://schemas.microsoft.com/office/drawing/2014/main" id="{EAFE0C51-EA71-988D-52A8-0EB42F3335DC}"/>
            </a:ext>
          </a:extLst>
        </xdr:cNvPr>
        <xdr:cNvSpPr/>
      </xdr:nvSpPr>
      <xdr:spPr>
        <a:xfrm>
          <a:off x="5298644" y="49378"/>
          <a:ext cx="1552118" cy="828970"/>
        </a:xfrm>
        <a:prstGeom prst="roundRect">
          <a:avLst>
            <a:gd name="adj" fmla="val 1566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670345</xdr:colOff>
      <xdr:row>0</xdr:row>
      <xdr:rowOff>52410</xdr:rowOff>
    </xdr:from>
    <xdr:to>
      <xdr:col>9</xdr:col>
      <xdr:colOff>849132</xdr:colOff>
      <xdr:row>8</xdr:row>
      <xdr:rowOff>77610</xdr:rowOff>
    </xdr:to>
    <xdr:sp macro="" textlink="">
      <xdr:nvSpPr>
        <xdr:cNvPr id="5" name="Rectangle: Rounded Corners 4">
          <a:extLst>
            <a:ext uri="{FF2B5EF4-FFF2-40B4-BE49-F238E27FC236}">
              <a16:creationId xmlns:a16="http://schemas.microsoft.com/office/drawing/2014/main" id="{74D6F91C-9405-C6BB-D6E0-A9FF8252B9BD}"/>
            </a:ext>
          </a:extLst>
        </xdr:cNvPr>
        <xdr:cNvSpPr/>
      </xdr:nvSpPr>
      <xdr:spPr>
        <a:xfrm>
          <a:off x="6893345" y="52410"/>
          <a:ext cx="1956787" cy="188786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32051</xdr:colOff>
      <xdr:row>0</xdr:row>
      <xdr:rowOff>62136</xdr:rowOff>
    </xdr:from>
    <xdr:to>
      <xdr:col>12</xdr:col>
      <xdr:colOff>196639</xdr:colOff>
      <xdr:row>8</xdr:row>
      <xdr:rowOff>77005</xdr:rowOff>
    </xdr:to>
    <xdr:sp macro="" textlink="">
      <xdr:nvSpPr>
        <xdr:cNvPr id="6" name="Rectangle: Rounded Corners 5">
          <a:extLst>
            <a:ext uri="{FF2B5EF4-FFF2-40B4-BE49-F238E27FC236}">
              <a16:creationId xmlns:a16="http://schemas.microsoft.com/office/drawing/2014/main" id="{B4B763A9-A9F4-5FEB-C2DF-8D3F3E749E00}"/>
            </a:ext>
          </a:extLst>
        </xdr:cNvPr>
        <xdr:cNvSpPr/>
      </xdr:nvSpPr>
      <xdr:spPr>
        <a:xfrm>
          <a:off x="8932723" y="62136"/>
          <a:ext cx="1944723" cy="191026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90386</xdr:colOff>
      <xdr:row>3</xdr:row>
      <xdr:rowOff>195605</xdr:rowOff>
    </xdr:from>
    <xdr:to>
      <xdr:col>1</xdr:col>
      <xdr:colOff>373296</xdr:colOff>
      <xdr:row>19</xdr:row>
      <xdr:rowOff>68075</xdr:rowOff>
    </xdr:to>
    <xdr:sp macro="" textlink="">
      <xdr:nvSpPr>
        <xdr:cNvPr id="7" name="Rectangle: Rounded Corners 6">
          <a:extLst>
            <a:ext uri="{FF2B5EF4-FFF2-40B4-BE49-F238E27FC236}">
              <a16:creationId xmlns:a16="http://schemas.microsoft.com/office/drawing/2014/main" id="{A9939A12-C36A-F20F-D75F-3926391FD0C7}"/>
            </a:ext>
          </a:extLst>
        </xdr:cNvPr>
        <xdr:cNvSpPr/>
      </xdr:nvSpPr>
      <xdr:spPr>
        <a:xfrm>
          <a:off x="90386" y="894105"/>
          <a:ext cx="1171910" cy="359780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444967</xdr:colOff>
      <xdr:row>4</xdr:row>
      <xdr:rowOff>5503</xdr:rowOff>
    </xdr:from>
    <xdr:to>
      <xdr:col>3</xdr:col>
      <xdr:colOff>478877</xdr:colOff>
      <xdr:row>8</xdr:row>
      <xdr:rowOff>60855</xdr:rowOff>
    </xdr:to>
    <xdr:sp macro="" textlink="">
      <xdr:nvSpPr>
        <xdr:cNvPr id="8" name="Rectangle: Rounded Corners 7">
          <a:extLst>
            <a:ext uri="{FF2B5EF4-FFF2-40B4-BE49-F238E27FC236}">
              <a16:creationId xmlns:a16="http://schemas.microsoft.com/office/drawing/2014/main" id="{AE3C4075-992F-9A2C-CC11-0E65D6BF5F33}"/>
            </a:ext>
          </a:extLst>
        </xdr:cNvPr>
        <xdr:cNvSpPr/>
      </xdr:nvSpPr>
      <xdr:spPr>
        <a:xfrm>
          <a:off x="1333967" y="936836"/>
          <a:ext cx="1811910" cy="986686"/>
        </a:xfrm>
        <a:prstGeom prst="roundRect">
          <a:avLst>
            <a:gd name="adj" fmla="val 1324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501110</xdr:colOff>
      <xdr:row>4</xdr:row>
      <xdr:rowOff>18309</xdr:rowOff>
    </xdr:from>
    <xdr:to>
      <xdr:col>5</xdr:col>
      <xdr:colOff>535021</xdr:colOff>
      <xdr:row>8</xdr:row>
      <xdr:rowOff>73661</xdr:rowOff>
    </xdr:to>
    <xdr:sp macro="" textlink="">
      <xdr:nvSpPr>
        <xdr:cNvPr id="9" name="Rectangle: Rounded Corners 8">
          <a:extLst>
            <a:ext uri="{FF2B5EF4-FFF2-40B4-BE49-F238E27FC236}">
              <a16:creationId xmlns:a16="http://schemas.microsoft.com/office/drawing/2014/main" id="{FE13F181-7215-F04C-851A-D179874CB9FC}"/>
            </a:ext>
          </a:extLst>
        </xdr:cNvPr>
        <xdr:cNvSpPr/>
      </xdr:nvSpPr>
      <xdr:spPr>
        <a:xfrm>
          <a:off x="3171312" y="966006"/>
          <a:ext cx="1814045" cy="1003050"/>
        </a:xfrm>
        <a:prstGeom prst="roundRect">
          <a:avLst>
            <a:gd name="adj" fmla="val 1324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602818</xdr:colOff>
      <xdr:row>4</xdr:row>
      <xdr:rowOff>16777</xdr:rowOff>
    </xdr:from>
    <xdr:to>
      <xdr:col>7</xdr:col>
      <xdr:colOff>617156</xdr:colOff>
      <xdr:row>8</xdr:row>
      <xdr:rowOff>46613</xdr:rowOff>
    </xdr:to>
    <xdr:sp macro="" textlink="">
      <xdr:nvSpPr>
        <xdr:cNvPr id="10" name="Rectangle: Rounded Corners 9">
          <a:extLst>
            <a:ext uri="{FF2B5EF4-FFF2-40B4-BE49-F238E27FC236}">
              <a16:creationId xmlns:a16="http://schemas.microsoft.com/office/drawing/2014/main" id="{D272A10C-093E-131B-E023-8F9C44818122}"/>
            </a:ext>
          </a:extLst>
        </xdr:cNvPr>
        <xdr:cNvSpPr/>
      </xdr:nvSpPr>
      <xdr:spPr>
        <a:xfrm>
          <a:off x="5060518" y="961657"/>
          <a:ext cx="1797418" cy="974716"/>
        </a:xfrm>
        <a:prstGeom prst="roundRect">
          <a:avLst>
            <a:gd name="adj" fmla="val 1324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459078</xdr:colOff>
      <xdr:row>11</xdr:row>
      <xdr:rowOff>190500</xdr:rowOff>
    </xdr:from>
    <xdr:to>
      <xdr:col>7</xdr:col>
      <xdr:colOff>655751</xdr:colOff>
      <xdr:row>19</xdr:row>
      <xdr:rowOff>21166</xdr:rowOff>
    </xdr:to>
    <xdr:sp macro="" textlink="">
      <xdr:nvSpPr>
        <xdr:cNvPr id="11" name="Rectangle: Rounded Corners 10">
          <a:extLst>
            <a:ext uri="{FF2B5EF4-FFF2-40B4-BE49-F238E27FC236}">
              <a16:creationId xmlns:a16="http://schemas.microsoft.com/office/drawing/2014/main" id="{78A641FA-1F74-042E-BD31-79910E0BF829}"/>
            </a:ext>
          </a:extLst>
        </xdr:cNvPr>
        <xdr:cNvSpPr/>
      </xdr:nvSpPr>
      <xdr:spPr>
        <a:xfrm>
          <a:off x="1348078" y="2751667"/>
          <a:ext cx="5530673" cy="1693332"/>
        </a:xfrm>
        <a:prstGeom prst="roundRect">
          <a:avLst>
            <a:gd name="adj" fmla="val 1324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459081</xdr:colOff>
      <xdr:row>8</xdr:row>
      <xdr:rowOff>105833</xdr:rowOff>
    </xdr:from>
    <xdr:to>
      <xdr:col>7</xdr:col>
      <xdr:colOff>564445</xdr:colOff>
      <xdr:row>11</xdr:row>
      <xdr:rowOff>176389</xdr:rowOff>
    </xdr:to>
    <xdr:sp macro="" textlink="">
      <xdr:nvSpPr>
        <xdr:cNvPr id="12" name="Rectangle: Rounded Corners 11">
          <a:extLst>
            <a:ext uri="{FF2B5EF4-FFF2-40B4-BE49-F238E27FC236}">
              <a16:creationId xmlns:a16="http://schemas.microsoft.com/office/drawing/2014/main" id="{746D713A-C465-43C7-648C-E8907D983A73}"/>
            </a:ext>
          </a:extLst>
        </xdr:cNvPr>
        <xdr:cNvSpPr/>
      </xdr:nvSpPr>
      <xdr:spPr>
        <a:xfrm>
          <a:off x="1348081" y="1968500"/>
          <a:ext cx="5439364" cy="769056"/>
        </a:xfrm>
        <a:prstGeom prst="roundRect">
          <a:avLst>
            <a:gd name="adj" fmla="val 40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713078</xdr:colOff>
      <xdr:row>8</xdr:row>
      <xdr:rowOff>141111</xdr:rowOff>
    </xdr:from>
    <xdr:to>
      <xdr:col>12</xdr:col>
      <xdr:colOff>232833</xdr:colOff>
      <xdr:row>19</xdr:row>
      <xdr:rowOff>119944</xdr:rowOff>
    </xdr:to>
    <xdr:sp macro="" textlink="">
      <xdr:nvSpPr>
        <xdr:cNvPr id="13" name="Rectangle: Rounded Corners 12">
          <a:extLst>
            <a:ext uri="{FF2B5EF4-FFF2-40B4-BE49-F238E27FC236}">
              <a16:creationId xmlns:a16="http://schemas.microsoft.com/office/drawing/2014/main" id="{46B291BB-B78A-7F86-C1EC-9B9DEFCE0235}"/>
            </a:ext>
          </a:extLst>
        </xdr:cNvPr>
        <xdr:cNvSpPr/>
      </xdr:nvSpPr>
      <xdr:spPr>
        <a:xfrm>
          <a:off x="6936078" y="2003778"/>
          <a:ext cx="3964755" cy="2539999"/>
        </a:xfrm>
        <a:prstGeom prst="roundRect">
          <a:avLst>
            <a:gd name="adj" fmla="val 824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754947</xdr:colOff>
      <xdr:row>0</xdr:row>
      <xdr:rowOff>91723</xdr:rowOff>
    </xdr:from>
    <xdr:to>
      <xdr:col>5</xdr:col>
      <xdr:colOff>275169</xdr:colOff>
      <xdr:row>1</xdr:row>
      <xdr:rowOff>169334</xdr:rowOff>
    </xdr:to>
    <xdr:sp macro="" textlink="">
      <xdr:nvSpPr>
        <xdr:cNvPr id="14" name="TextBox 13">
          <a:extLst>
            <a:ext uri="{FF2B5EF4-FFF2-40B4-BE49-F238E27FC236}">
              <a16:creationId xmlns:a16="http://schemas.microsoft.com/office/drawing/2014/main" id="{B2A2FD3A-2124-D0D8-9EB3-94427F2F8DA4}"/>
            </a:ext>
          </a:extLst>
        </xdr:cNvPr>
        <xdr:cNvSpPr txBox="1"/>
      </xdr:nvSpPr>
      <xdr:spPr>
        <a:xfrm>
          <a:off x="754947" y="91723"/>
          <a:ext cx="3965222" cy="310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800">
              <a:latin typeface="Calibri" panose="020F0502020204030204" pitchFamily="34" charset="0"/>
              <a:ea typeface="Calibri" panose="020F0502020204030204" pitchFamily="34" charset="0"/>
              <a:cs typeface="Calibri" panose="020F0502020204030204" pitchFamily="34" charset="0"/>
            </a:rPr>
            <a:t>Hospital</a:t>
          </a:r>
          <a:r>
            <a:rPr lang="en-US" sz="1800" baseline="0">
              <a:latin typeface="Calibri" panose="020F0502020204030204" pitchFamily="34" charset="0"/>
              <a:ea typeface="Calibri" panose="020F0502020204030204" pitchFamily="34" charset="0"/>
              <a:cs typeface="Calibri" panose="020F0502020204030204" pitchFamily="34" charset="0"/>
            </a:rPr>
            <a:t> Emergency Data Dashboard</a:t>
          </a:r>
          <a:endParaRPr lang="en-US" sz="1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127000</xdr:colOff>
      <xdr:row>0</xdr:row>
      <xdr:rowOff>70554</xdr:rowOff>
    </xdr:from>
    <xdr:to>
      <xdr:col>1</xdr:col>
      <xdr:colOff>74790</xdr:colOff>
      <xdr:row>3</xdr:row>
      <xdr:rowOff>145343</xdr:rowOff>
    </xdr:to>
    <xdr:pic>
      <xdr:nvPicPr>
        <xdr:cNvPr id="16" name="Graphic 15" descr="Hospital with solid fill">
          <a:extLst>
            <a:ext uri="{FF2B5EF4-FFF2-40B4-BE49-F238E27FC236}">
              <a16:creationId xmlns:a16="http://schemas.microsoft.com/office/drawing/2014/main" id="{F6DAE21C-71E3-A58A-1A31-EE200CA0ABAD}"/>
            </a:ext>
          </a:extLst>
        </xdr:cNvPr>
        <xdr:cNvPicPr>
          <a:picLocks noChangeAspect="1"/>
        </xdr:cNvPicPr>
      </xdr:nvPicPr>
      <xdr:blipFill>
        <a:blip xmlns:r="http://schemas.openxmlformats.org/officeDocument/2006/relationships" r:embed="rId1">
          <a:duotone>
            <a:schemeClr val="accent1">
              <a:shade val="45000"/>
              <a:satMod val="135000"/>
            </a:schemeClr>
            <a:prstClr val="white"/>
          </a:duotone>
          <a:extLst>
            <a:ext uri="{96DAC541-7B7A-43D3-8B79-37D633B846F1}">
              <asvg:svgBlip xmlns:asvg="http://schemas.microsoft.com/office/drawing/2016/SVG/main" r:embed="rId2"/>
            </a:ext>
          </a:extLst>
        </a:blip>
        <a:stretch>
          <a:fillRect/>
        </a:stretch>
      </xdr:blipFill>
      <xdr:spPr>
        <a:xfrm>
          <a:off x="127000" y="70554"/>
          <a:ext cx="836790" cy="773289"/>
        </a:xfrm>
        <a:prstGeom prst="rect">
          <a:avLst/>
        </a:prstGeom>
      </xdr:spPr>
    </xdr:pic>
    <xdr:clientData/>
  </xdr:twoCellAnchor>
  <xdr:twoCellAnchor editAs="absolute">
    <xdr:from>
      <xdr:col>1</xdr:col>
      <xdr:colOff>423333</xdr:colOff>
      <xdr:row>5</xdr:row>
      <xdr:rowOff>169332</xdr:rowOff>
    </xdr:from>
    <xdr:to>
      <xdr:col>3</xdr:col>
      <xdr:colOff>472722</xdr:colOff>
      <xdr:row>7</xdr:row>
      <xdr:rowOff>0</xdr:rowOff>
    </xdr:to>
    <xdr:sp macro="" textlink="">
      <xdr:nvSpPr>
        <xdr:cNvPr id="17" name="TextBox 16">
          <a:hlinkClick xmlns:r="http://schemas.openxmlformats.org/officeDocument/2006/relationships" r:id="rId3"/>
          <a:extLst>
            <a:ext uri="{FF2B5EF4-FFF2-40B4-BE49-F238E27FC236}">
              <a16:creationId xmlns:a16="http://schemas.microsoft.com/office/drawing/2014/main" id="{C4C678EF-8282-62AC-90F8-945F18925619}"/>
            </a:ext>
          </a:extLst>
        </xdr:cNvPr>
        <xdr:cNvSpPr txBox="1"/>
      </xdr:nvSpPr>
      <xdr:spPr>
        <a:xfrm>
          <a:off x="1312333" y="1333499"/>
          <a:ext cx="1827389"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a:latin typeface="+mn-lt"/>
              <a:ea typeface="Calibri" panose="020F0502020204030204" pitchFamily="34" charset="0"/>
              <a:cs typeface="Calibri" panose="020F0502020204030204" pitchFamily="34" charset="0"/>
            </a:rPr>
            <a:t>No.of</a:t>
          </a:r>
          <a:r>
            <a:rPr lang="en-US" sz="1400" baseline="0">
              <a:latin typeface="+mn-lt"/>
              <a:ea typeface="Calibri" panose="020F0502020204030204" pitchFamily="34" charset="0"/>
              <a:cs typeface="Calibri" panose="020F0502020204030204" pitchFamily="34" charset="0"/>
            </a:rPr>
            <a:t> patient</a:t>
          </a:r>
        </a:p>
        <a:p>
          <a:pPr algn="ctr"/>
          <a:endParaRPr lang="en-US" sz="1400">
            <a:latin typeface="+mn-lt"/>
            <a:ea typeface="Calibri" panose="020F0502020204030204" pitchFamily="34" charset="0"/>
            <a:cs typeface="Calibri" panose="020F0502020204030204" pitchFamily="34" charset="0"/>
          </a:endParaRPr>
        </a:p>
      </xdr:txBody>
    </xdr:sp>
    <xdr:clientData/>
  </xdr:twoCellAnchor>
  <xdr:twoCellAnchor editAs="absolute">
    <xdr:from>
      <xdr:col>1</xdr:col>
      <xdr:colOff>564443</xdr:colOff>
      <xdr:row>4</xdr:row>
      <xdr:rowOff>183445</xdr:rowOff>
    </xdr:from>
    <xdr:to>
      <xdr:col>3</xdr:col>
      <xdr:colOff>239890</xdr:colOff>
      <xdr:row>5</xdr:row>
      <xdr:rowOff>162277</xdr:rowOff>
    </xdr:to>
    <xdr:sp macro="" textlink="'Pivot Report'!A8">
      <xdr:nvSpPr>
        <xdr:cNvPr id="18" name="TextBox 17">
          <a:extLst>
            <a:ext uri="{FF2B5EF4-FFF2-40B4-BE49-F238E27FC236}">
              <a16:creationId xmlns:a16="http://schemas.microsoft.com/office/drawing/2014/main" id="{38A6AE8A-B687-3DC4-C8AE-71919B7BC0A4}"/>
            </a:ext>
          </a:extLst>
        </xdr:cNvPr>
        <xdr:cNvSpPr txBox="1"/>
      </xdr:nvSpPr>
      <xdr:spPr>
        <a:xfrm>
          <a:off x="1453443" y="1114778"/>
          <a:ext cx="1453447" cy="211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D92BB49-6468-4543-8C56-6E7BF4E4828D}" type="TxLink">
            <a:rPr lang="en-US" sz="1100" b="0" i="0" u="none" strike="noStrike">
              <a:solidFill>
                <a:srgbClr val="000000"/>
              </a:solidFill>
              <a:latin typeface="Aptos Narrow"/>
              <a:ea typeface="Calibri" panose="020F0502020204030204" pitchFamily="34" charset="0"/>
              <a:cs typeface="Calibri" panose="020F0502020204030204" pitchFamily="34" charset="0"/>
            </a:rPr>
            <a:pPr algn="ctr"/>
            <a:t>513</a:t>
          </a:fld>
          <a:endParaRPr lang="en-US">
            <a:ea typeface="Calibri" panose="020F0502020204030204" pitchFamily="34" charset="0"/>
            <a:cs typeface="Calibri" panose="020F0502020204030204" pitchFamily="34" charset="0"/>
          </a:endParaRPr>
        </a:p>
      </xdr:txBody>
    </xdr:sp>
    <xdr:clientData/>
  </xdr:twoCellAnchor>
  <xdr:twoCellAnchor editAs="absolute">
    <xdr:from>
      <xdr:col>3</xdr:col>
      <xdr:colOff>642055</xdr:colOff>
      <xdr:row>4</xdr:row>
      <xdr:rowOff>183445</xdr:rowOff>
    </xdr:from>
    <xdr:to>
      <xdr:col>5</xdr:col>
      <xdr:colOff>317502</xdr:colOff>
      <xdr:row>5</xdr:row>
      <xdr:rowOff>162277</xdr:rowOff>
    </xdr:to>
    <xdr:sp macro="" textlink="'Pivot Report'!A12">
      <xdr:nvSpPr>
        <xdr:cNvPr id="20" name="TextBox 19">
          <a:extLst>
            <a:ext uri="{FF2B5EF4-FFF2-40B4-BE49-F238E27FC236}">
              <a16:creationId xmlns:a16="http://schemas.microsoft.com/office/drawing/2014/main" id="{E223F10C-7276-59C9-F7D8-3052AE6B1F7B}"/>
            </a:ext>
          </a:extLst>
        </xdr:cNvPr>
        <xdr:cNvSpPr txBox="1"/>
      </xdr:nvSpPr>
      <xdr:spPr>
        <a:xfrm>
          <a:off x="3309055" y="1114778"/>
          <a:ext cx="1453447" cy="211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53B15F0-1623-4F31-B51F-BC8BABB123DC}" type="TxLink">
            <a:rPr lang="en-US" sz="1100" b="0" i="0" u="none" strike="noStrike">
              <a:solidFill>
                <a:srgbClr val="000000"/>
              </a:solidFill>
              <a:latin typeface="Aptos Narrow"/>
              <a:ea typeface="Calibri" panose="020F0502020204030204" pitchFamily="34" charset="0"/>
              <a:cs typeface="Calibri" panose="020F0502020204030204" pitchFamily="34" charset="0"/>
            </a:rPr>
            <a:pPr algn="ctr"/>
            <a:t>36.32</a:t>
          </a:fld>
          <a:endParaRPr lang="en-US">
            <a:ea typeface="Calibri" panose="020F0502020204030204" pitchFamily="34" charset="0"/>
            <a:cs typeface="Calibri" panose="020F0502020204030204" pitchFamily="34" charset="0"/>
          </a:endParaRPr>
        </a:p>
      </xdr:txBody>
    </xdr:sp>
    <xdr:clientData/>
  </xdr:twoCellAnchor>
  <xdr:twoCellAnchor editAs="absolute">
    <xdr:from>
      <xdr:col>3</xdr:col>
      <xdr:colOff>515056</xdr:colOff>
      <xdr:row>5</xdr:row>
      <xdr:rowOff>162277</xdr:rowOff>
    </xdr:from>
    <xdr:to>
      <xdr:col>5</xdr:col>
      <xdr:colOff>571500</xdr:colOff>
      <xdr:row>6</xdr:row>
      <xdr:rowOff>225778</xdr:rowOff>
    </xdr:to>
    <xdr:sp macro="" textlink="">
      <xdr:nvSpPr>
        <xdr:cNvPr id="21" name="TextBox 20">
          <a:extLst>
            <a:ext uri="{FF2B5EF4-FFF2-40B4-BE49-F238E27FC236}">
              <a16:creationId xmlns:a16="http://schemas.microsoft.com/office/drawing/2014/main" id="{105597A5-9518-18F9-B577-1D21EE627618}"/>
            </a:ext>
          </a:extLst>
        </xdr:cNvPr>
        <xdr:cNvSpPr txBox="1"/>
      </xdr:nvSpPr>
      <xdr:spPr>
        <a:xfrm>
          <a:off x="3182056" y="1326444"/>
          <a:ext cx="1834444"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a:latin typeface="+mn-lt"/>
              <a:ea typeface="Calibri" panose="020F0502020204030204" pitchFamily="34" charset="0"/>
              <a:cs typeface="Calibri" panose="020F0502020204030204" pitchFamily="34" charset="0"/>
            </a:rPr>
            <a:t>Average</a:t>
          </a:r>
          <a:r>
            <a:rPr lang="en-US" sz="1400" baseline="0">
              <a:latin typeface="+mn-lt"/>
              <a:ea typeface="Calibri" panose="020F0502020204030204" pitchFamily="34" charset="0"/>
              <a:cs typeface="Calibri" panose="020F0502020204030204" pitchFamily="34" charset="0"/>
            </a:rPr>
            <a:t> wait time</a:t>
          </a:r>
          <a:endParaRPr lang="en-US" sz="1400">
            <a:latin typeface="+mn-lt"/>
            <a:ea typeface="Calibri" panose="020F0502020204030204" pitchFamily="34" charset="0"/>
            <a:cs typeface="Calibri" panose="020F0502020204030204" pitchFamily="34" charset="0"/>
          </a:endParaRPr>
        </a:p>
      </xdr:txBody>
    </xdr:sp>
    <xdr:clientData/>
  </xdr:twoCellAnchor>
  <xdr:twoCellAnchor editAs="absolute">
    <xdr:from>
      <xdr:col>5</xdr:col>
      <xdr:colOff>587304</xdr:colOff>
      <xdr:row>5</xdr:row>
      <xdr:rowOff>167075</xdr:rowOff>
    </xdr:from>
    <xdr:to>
      <xdr:col>7</xdr:col>
      <xdr:colOff>636693</xdr:colOff>
      <xdr:row>6</xdr:row>
      <xdr:rowOff>233963</xdr:rowOff>
    </xdr:to>
    <xdr:sp macro="" textlink="">
      <xdr:nvSpPr>
        <xdr:cNvPr id="22" name="TextBox 21">
          <a:extLst>
            <a:ext uri="{FF2B5EF4-FFF2-40B4-BE49-F238E27FC236}">
              <a16:creationId xmlns:a16="http://schemas.microsoft.com/office/drawing/2014/main" id="{B9FE047F-6CEE-D73B-F788-4F549F23821C}"/>
            </a:ext>
          </a:extLst>
        </xdr:cNvPr>
        <xdr:cNvSpPr txBox="1"/>
      </xdr:nvSpPr>
      <xdr:spPr>
        <a:xfrm>
          <a:off x="5045004" y="1348175"/>
          <a:ext cx="1832469" cy="303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a:latin typeface="+mn-lt"/>
              <a:ea typeface="Calibri" panose="020F0502020204030204" pitchFamily="34" charset="0"/>
              <a:cs typeface="Calibri" panose="020F0502020204030204" pitchFamily="34" charset="0"/>
            </a:rPr>
            <a:t>Patient</a:t>
          </a:r>
          <a:r>
            <a:rPr lang="en-US" sz="1400" baseline="0">
              <a:latin typeface="+mn-lt"/>
              <a:ea typeface="Calibri" panose="020F0502020204030204" pitchFamily="34" charset="0"/>
              <a:cs typeface="Calibri" panose="020F0502020204030204" pitchFamily="34" charset="0"/>
            </a:rPr>
            <a:t> satisfaction score</a:t>
          </a:r>
          <a:endParaRPr lang="en-US" sz="1400">
            <a:latin typeface="+mn-lt"/>
            <a:ea typeface="Calibri" panose="020F0502020204030204" pitchFamily="34" charset="0"/>
            <a:cs typeface="Calibri" panose="020F0502020204030204" pitchFamily="34" charset="0"/>
          </a:endParaRPr>
        </a:p>
      </xdr:txBody>
    </xdr:sp>
    <xdr:clientData/>
  </xdr:twoCellAnchor>
  <xdr:twoCellAnchor editAs="absolute">
    <xdr:from>
      <xdr:col>5</xdr:col>
      <xdr:colOff>769055</xdr:colOff>
      <xdr:row>4</xdr:row>
      <xdr:rowOff>204612</xdr:rowOff>
    </xdr:from>
    <xdr:to>
      <xdr:col>7</xdr:col>
      <xdr:colOff>444502</xdr:colOff>
      <xdr:row>5</xdr:row>
      <xdr:rowOff>183444</xdr:rowOff>
    </xdr:to>
    <xdr:sp macro="" textlink="'Pivot Report'!A16">
      <xdr:nvSpPr>
        <xdr:cNvPr id="23" name="TextBox 22">
          <a:extLst>
            <a:ext uri="{FF2B5EF4-FFF2-40B4-BE49-F238E27FC236}">
              <a16:creationId xmlns:a16="http://schemas.microsoft.com/office/drawing/2014/main" id="{1F518981-CA37-D1B5-083F-099FF49B8C09}"/>
            </a:ext>
          </a:extLst>
        </xdr:cNvPr>
        <xdr:cNvSpPr txBox="1"/>
      </xdr:nvSpPr>
      <xdr:spPr>
        <a:xfrm>
          <a:off x="5214055" y="1135945"/>
          <a:ext cx="1453447" cy="211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1662027-2310-4F15-B7FE-6C86FD0474AC}" type="TxLink">
            <a:rPr lang="en-US" sz="1100" b="0" i="0" u="none" strike="noStrike">
              <a:solidFill>
                <a:srgbClr val="000000"/>
              </a:solidFill>
              <a:latin typeface="Aptos Narrow"/>
              <a:ea typeface="Calibri" panose="020F0502020204030204" pitchFamily="34" charset="0"/>
              <a:cs typeface="Calibri" panose="020F0502020204030204" pitchFamily="34" charset="0"/>
            </a:rPr>
            <a:pPr algn="ctr"/>
            <a:t>4.96</a:t>
          </a:fld>
          <a:endParaRPr lang="en-US">
            <a:ea typeface="Calibri" panose="020F0502020204030204" pitchFamily="34" charset="0"/>
            <a:cs typeface="Calibri" panose="020F0502020204030204" pitchFamily="34" charset="0"/>
          </a:endParaRPr>
        </a:p>
      </xdr:txBody>
    </xdr:sp>
    <xdr:clientData/>
  </xdr:twoCellAnchor>
  <xdr:twoCellAnchor editAs="oneCell">
    <xdr:from>
      <xdr:col>3</xdr:col>
      <xdr:colOff>112890</xdr:colOff>
      <xdr:row>4</xdr:row>
      <xdr:rowOff>35278</xdr:rowOff>
    </xdr:from>
    <xdr:to>
      <xdr:col>3</xdr:col>
      <xdr:colOff>448734</xdr:colOff>
      <xdr:row>5</xdr:row>
      <xdr:rowOff>138288</xdr:rowOff>
    </xdr:to>
    <xdr:pic>
      <xdr:nvPicPr>
        <xdr:cNvPr id="25" name="Graphic 24" descr="Female Profile with solid fill">
          <a:extLst>
            <a:ext uri="{FF2B5EF4-FFF2-40B4-BE49-F238E27FC236}">
              <a16:creationId xmlns:a16="http://schemas.microsoft.com/office/drawing/2014/main" id="{1F253160-0AD6-4BE2-ECF8-A5381C2E03D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79890" y="966611"/>
          <a:ext cx="335844" cy="335844"/>
        </a:xfrm>
        <a:prstGeom prst="rect">
          <a:avLst/>
        </a:prstGeom>
      </xdr:spPr>
    </xdr:pic>
    <xdr:clientData/>
  </xdr:twoCellAnchor>
  <xdr:twoCellAnchor editAs="oneCell">
    <xdr:from>
      <xdr:col>5</xdr:col>
      <xdr:colOff>153388</xdr:colOff>
      <xdr:row>4</xdr:row>
      <xdr:rowOff>18343</xdr:rowOff>
    </xdr:from>
    <xdr:to>
      <xdr:col>5</xdr:col>
      <xdr:colOff>522111</xdr:colOff>
      <xdr:row>5</xdr:row>
      <xdr:rowOff>127001</xdr:rowOff>
    </xdr:to>
    <xdr:pic>
      <xdr:nvPicPr>
        <xdr:cNvPr id="27" name="Graphic 26" descr="Hourglass Full with solid fill">
          <a:extLst>
            <a:ext uri="{FF2B5EF4-FFF2-40B4-BE49-F238E27FC236}">
              <a16:creationId xmlns:a16="http://schemas.microsoft.com/office/drawing/2014/main" id="{5DB93C84-E73D-3F5D-DF5A-E4068FEA024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10800000" flipH="1" flipV="1">
          <a:off x="4598388" y="949676"/>
          <a:ext cx="368723" cy="341492"/>
        </a:xfrm>
        <a:prstGeom prst="rect">
          <a:avLst/>
        </a:prstGeom>
      </xdr:spPr>
    </xdr:pic>
    <xdr:clientData/>
  </xdr:twoCellAnchor>
  <xdr:twoCellAnchor editAs="oneCell">
    <xdr:from>
      <xdr:col>7</xdr:col>
      <xdr:colOff>197554</xdr:colOff>
      <xdr:row>4</xdr:row>
      <xdr:rowOff>35278</xdr:rowOff>
    </xdr:from>
    <xdr:to>
      <xdr:col>7</xdr:col>
      <xdr:colOff>544119</xdr:colOff>
      <xdr:row>5</xdr:row>
      <xdr:rowOff>149009</xdr:rowOff>
    </xdr:to>
    <xdr:pic>
      <xdr:nvPicPr>
        <xdr:cNvPr id="29" name="Graphic 28" descr="Rating with solid fill">
          <a:extLst>
            <a:ext uri="{FF2B5EF4-FFF2-40B4-BE49-F238E27FC236}">
              <a16:creationId xmlns:a16="http://schemas.microsoft.com/office/drawing/2014/main" id="{4B14C7DB-7AEE-6747-911E-C1828583F11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10800000" flipH="1" flipV="1">
          <a:off x="6420554" y="966611"/>
          <a:ext cx="346565" cy="346565"/>
        </a:xfrm>
        <a:prstGeom prst="rect">
          <a:avLst/>
        </a:prstGeom>
      </xdr:spPr>
    </xdr:pic>
    <xdr:clientData/>
  </xdr:twoCellAnchor>
  <xdr:twoCellAnchor editAs="oneCell">
    <xdr:from>
      <xdr:col>0</xdr:col>
      <xdr:colOff>144479</xdr:colOff>
      <xdr:row>4</xdr:row>
      <xdr:rowOff>14110</xdr:rowOff>
    </xdr:from>
    <xdr:to>
      <xdr:col>1</xdr:col>
      <xdr:colOff>310444</xdr:colOff>
      <xdr:row>18</xdr:row>
      <xdr:rowOff>211666</xdr:rowOff>
    </xdr:to>
    <mc:AlternateContent xmlns:mc="http://schemas.openxmlformats.org/markup-compatibility/2006" xmlns:a14="http://schemas.microsoft.com/office/drawing/2010/main">
      <mc:Choice Requires="a14">
        <xdr:graphicFrame macro="">
          <xdr:nvGraphicFramePr>
            <xdr:cNvPr id="30" name="Date (Month) 1">
              <a:extLst>
                <a:ext uri="{FF2B5EF4-FFF2-40B4-BE49-F238E27FC236}">
                  <a16:creationId xmlns:a16="http://schemas.microsoft.com/office/drawing/2014/main" id="{F6982147-4D7A-46FE-A111-DC0E2536312C}"/>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44479" y="945443"/>
              <a:ext cx="1054965" cy="34572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395110</xdr:colOff>
      <xdr:row>6</xdr:row>
      <xdr:rowOff>56443</xdr:rowOff>
    </xdr:from>
    <xdr:to>
      <xdr:col>3</xdr:col>
      <xdr:colOff>479777</xdr:colOff>
      <xdr:row>8</xdr:row>
      <xdr:rowOff>77609</xdr:rowOff>
    </xdr:to>
    <xdr:graphicFrame macro="">
      <xdr:nvGraphicFramePr>
        <xdr:cNvPr id="32" name="Chart 31">
          <a:hlinkClick xmlns:r="http://schemas.openxmlformats.org/officeDocument/2006/relationships" r:id="rId10"/>
          <a:extLst>
            <a:ext uri="{FF2B5EF4-FFF2-40B4-BE49-F238E27FC236}">
              <a16:creationId xmlns:a16="http://schemas.microsoft.com/office/drawing/2014/main" id="{03E053B4-3F7B-F291-164D-50D3BA5C0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500946</xdr:colOff>
      <xdr:row>6</xdr:row>
      <xdr:rowOff>204611</xdr:rowOff>
    </xdr:from>
    <xdr:to>
      <xdr:col>5</xdr:col>
      <xdr:colOff>536222</xdr:colOff>
      <xdr:row>8</xdr:row>
      <xdr:rowOff>70555</xdr:rowOff>
    </xdr:to>
    <xdr:graphicFrame macro="">
      <xdr:nvGraphicFramePr>
        <xdr:cNvPr id="34" name="Chart 33">
          <a:hlinkClick xmlns:r="http://schemas.openxmlformats.org/officeDocument/2006/relationships" r:id="rId12"/>
          <a:extLst>
            <a:ext uri="{FF2B5EF4-FFF2-40B4-BE49-F238E27FC236}">
              <a16:creationId xmlns:a16="http://schemas.microsoft.com/office/drawing/2014/main" id="{A8D0FA52-AA5A-4885-99B4-966DA4C8B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609036</xdr:colOff>
      <xdr:row>7</xdr:row>
      <xdr:rowOff>33584</xdr:rowOff>
    </xdr:from>
    <xdr:to>
      <xdr:col>7</xdr:col>
      <xdr:colOff>609035</xdr:colOff>
      <xdr:row>8</xdr:row>
      <xdr:rowOff>40641</xdr:rowOff>
    </xdr:to>
    <xdr:graphicFrame macro="">
      <xdr:nvGraphicFramePr>
        <xdr:cNvPr id="35" name="Chart 34">
          <a:hlinkClick xmlns:r="http://schemas.openxmlformats.org/officeDocument/2006/relationships" r:id="rId14"/>
          <a:extLst>
            <a:ext uri="{FF2B5EF4-FFF2-40B4-BE49-F238E27FC236}">
              <a16:creationId xmlns:a16="http://schemas.microsoft.com/office/drawing/2014/main" id="{614CB43E-B262-463C-B9E5-FBE5281B4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493889</xdr:colOff>
      <xdr:row>11</xdr:row>
      <xdr:rowOff>211667</xdr:rowOff>
    </xdr:from>
    <xdr:to>
      <xdr:col>7</xdr:col>
      <xdr:colOff>592667</xdr:colOff>
      <xdr:row>17</xdr:row>
      <xdr:rowOff>155223</xdr:rowOff>
    </xdr:to>
    <xdr:graphicFrame macro="">
      <xdr:nvGraphicFramePr>
        <xdr:cNvPr id="33" name="Chart 32">
          <a:extLst>
            <a:ext uri="{FF2B5EF4-FFF2-40B4-BE49-F238E27FC236}">
              <a16:creationId xmlns:a16="http://schemas.microsoft.com/office/drawing/2014/main" id="{A2D3ACD8-F425-4957-98DA-E597A5ECC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3</xdr:col>
      <xdr:colOff>268578</xdr:colOff>
      <xdr:row>17</xdr:row>
      <xdr:rowOff>190500</xdr:rowOff>
    </xdr:from>
    <xdr:to>
      <xdr:col>5</xdr:col>
      <xdr:colOff>571500</xdr:colOff>
      <xdr:row>19</xdr:row>
      <xdr:rowOff>21168</xdr:rowOff>
    </xdr:to>
    <xdr:sp macro="" textlink="">
      <xdr:nvSpPr>
        <xdr:cNvPr id="36" name="TextBox 35">
          <a:extLst>
            <a:ext uri="{FF2B5EF4-FFF2-40B4-BE49-F238E27FC236}">
              <a16:creationId xmlns:a16="http://schemas.microsoft.com/office/drawing/2014/main" id="{E301F6E5-6952-4936-82FC-95444FEDBD37}"/>
            </a:ext>
          </a:extLst>
        </xdr:cNvPr>
        <xdr:cNvSpPr txBox="1"/>
      </xdr:nvSpPr>
      <xdr:spPr>
        <a:xfrm>
          <a:off x="2935578" y="4148667"/>
          <a:ext cx="2080922"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a:latin typeface="+mn-lt"/>
              <a:ea typeface="Calibri" panose="020F0502020204030204" pitchFamily="34" charset="0"/>
              <a:cs typeface="Calibri" panose="020F0502020204030204" pitchFamily="34" charset="0"/>
            </a:rPr>
            <a:t>No.</a:t>
          </a:r>
          <a:r>
            <a:rPr lang="en-US" sz="1400" baseline="0">
              <a:latin typeface="+mn-lt"/>
              <a:ea typeface="Calibri" panose="020F0502020204030204" pitchFamily="34" charset="0"/>
              <a:cs typeface="Calibri" panose="020F0502020204030204" pitchFamily="34" charset="0"/>
            </a:rPr>
            <a:t> of patient by age group</a:t>
          </a:r>
          <a:endParaRPr lang="en-US" sz="1400">
            <a:latin typeface="+mn-lt"/>
            <a:ea typeface="Calibri" panose="020F0502020204030204" pitchFamily="34" charset="0"/>
            <a:cs typeface="Calibri" panose="020F0502020204030204" pitchFamily="34" charset="0"/>
          </a:endParaRPr>
        </a:p>
      </xdr:txBody>
    </xdr:sp>
    <xdr:clientData/>
  </xdr:twoCellAnchor>
  <xdr:twoCellAnchor>
    <xdr:from>
      <xdr:col>7</xdr:col>
      <xdr:colOff>700825</xdr:colOff>
      <xdr:row>0</xdr:row>
      <xdr:rowOff>91440</xdr:rowOff>
    </xdr:from>
    <xdr:to>
      <xdr:col>9</xdr:col>
      <xdr:colOff>815340</xdr:colOff>
      <xdr:row>7</xdr:row>
      <xdr:rowOff>15240</xdr:rowOff>
    </xdr:to>
    <xdr:graphicFrame macro="">
      <xdr:nvGraphicFramePr>
        <xdr:cNvPr id="38" name="Chart 37">
          <a:extLst>
            <a:ext uri="{FF2B5EF4-FFF2-40B4-BE49-F238E27FC236}">
              <a16:creationId xmlns:a16="http://schemas.microsoft.com/office/drawing/2014/main" id="{A30EFC4E-CCB5-4313-B52F-C19B8246E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7</xdr:col>
      <xdr:colOff>740835</xdr:colOff>
      <xdr:row>7</xdr:row>
      <xdr:rowOff>42333</xdr:rowOff>
    </xdr:from>
    <xdr:to>
      <xdr:col>9</xdr:col>
      <xdr:colOff>797279</xdr:colOff>
      <xdr:row>8</xdr:row>
      <xdr:rowOff>105833</xdr:rowOff>
    </xdr:to>
    <xdr:sp macro="" textlink="">
      <xdr:nvSpPr>
        <xdr:cNvPr id="39" name="TextBox 38">
          <a:extLst>
            <a:ext uri="{FF2B5EF4-FFF2-40B4-BE49-F238E27FC236}">
              <a16:creationId xmlns:a16="http://schemas.microsoft.com/office/drawing/2014/main" id="{AD60C1C8-2248-845C-6B38-5297F19C8087}"/>
            </a:ext>
          </a:extLst>
        </xdr:cNvPr>
        <xdr:cNvSpPr txBox="1"/>
      </xdr:nvSpPr>
      <xdr:spPr>
        <a:xfrm>
          <a:off x="6963835" y="1672166"/>
          <a:ext cx="1834444"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a:latin typeface="+mn-lt"/>
              <a:ea typeface="Calibri" panose="020F0502020204030204" pitchFamily="34" charset="0"/>
              <a:cs typeface="Calibri" panose="020F0502020204030204" pitchFamily="34" charset="0"/>
            </a:rPr>
            <a:t>Patient</a:t>
          </a:r>
          <a:r>
            <a:rPr lang="en-US" sz="1400" baseline="0">
              <a:latin typeface="+mn-lt"/>
              <a:ea typeface="Calibri" panose="020F0502020204030204" pitchFamily="34" charset="0"/>
              <a:cs typeface="Calibri" panose="020F0502020204030204" pitchFamily="34" charset="0"/>
            </a:rPr>
            <a:t> attend status</a:t>
          </a:r>
        </a:p>
        <a:p>
          <a:pPr algn="ctr"/>
          <a:endParaRPr lang="en-US" sz="1400">
            <a:latin typeface="+mn-lt"/>
            <a:ea typeface="Calibri" panose="020F0502020204030204" pitchFamily="34" charset="0"/>
            <a:cs typeface="Calibri" panose="020F0502020204030204" pitchFamily="34" charset="0"/>
          </a:endParaRPr>
        </a:p>
      </xdr:txBody>
    </xdr:sp>
    <xdr:clientData/>
  </xdr:twoCellAnchor>
  <xdr:twoCellAnchor>
    <xdr:from>
      <xdr:col>10</xdr:col>
      <xdr:colOff>42723</xdr:colOff>
      <xdr:row>0</xdr:row>
      <xdr:rowOff>62137</xdr:rowOff>
    </xdr:from>
    <xdr:to>
      <xdr:col>12</xdr:col>
      <xdr:colOff>148167</xdr:colOff>
      <xdr:row>7</xdr:row>
      <xdr:rowOff>0</xdr:rowOff>
    </xdr:to>
    <xdr:graphicFrame macro="">
      <xdr:nvGraphicFramePr>
        <xdr:cNvPr id="40" name="Chart 39">
          <a:extLst>
            <a:ext uri="{FF2B5EF4-FFF2-40B4-BE49-F238E27FC236}">
              <a16:creationId xmlns:a16="http://schemas.microsoft.com/office/drawing/2014/main" id="{7F6C82DD-E621-4A86-8379-7DE150915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10</xdr:col>
      <xdr:colOff>91723</xdr:colOff>
      <xdr:row>7</xdr:row>
      <xdr:rowOff>14111</xdr:rowOff>
    </xdr:from>
    <xdr:to>
      <xdr:col>12</xdr:col>
      <xdr:colOff>148167</xdr:colOff>
      <xdr:row>8</xdr:row>
      <xdr:rowOff>77611</xdr:rowOff>
    </xdr:to>
    <xdr:sp macro="" textlink="">
      <xdr:nvSpPr>
        <xdr:cNvPr id="41" name="TextBox 40">
          <a:extLst>
            <a:ext uri="{FF2B5EF4-FFF2-40B4-BE49-F238E27FC236}">
              <a16:creationId xmlns:a16="http://schemas.microsoft.com/office/drawing/2014/main" id="{25778E40-A758-648F-2ABB-B00A994A1C1B}"/>
            </a:ext>
          </a:extLst>
        </xdr:cNvPr>
        <xdr:cNvSpPr txBox="1"/>
      </xdr:nvSpPr>
      <xdr:spPr>
        <a:xfrm>
          <a:off x="8981723" y="1643944"/>
          <a:ext cx="1834444"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aseline="0">
              <a:latin typeface="+mn-lt"/>
              <a:ea typeface="Calibri" panose="020F0502020204030204" pitchFamily="34" charset="0"/>
              <a:cs typeface="Calibri" panose="020F0502020204030204" pitchFamily="34" charset="0"/>
            </a:rPr>
            <a:t>Gender Wise Analysis</a:t>
          </a:r>
        </a:p>
        <a:p>
          <a:pPr algn="ctr"/>
          <a:endParaRPr lang="en-US" sz="1400">
            <a:latin typeface="+mn-lt"/>
            <a:ea typeface="Calibri" panose="020F0502020204030204" pitchFamily="34" charset="0"/>
            <a:cs typeface="Calibri" panose="020F0502020204030204" pitchFamily="34" charset="0"/>
          </a:endParaRPr>
        </a:p>
      </xdr:txBody>
    </xdr:sp>
    <xdr:clientData/>
  </xdr:twoCellAnchor>
  <xdr:twoCellAnchor>
    <xdr:from>
      <xdr:col>7</xdr:col>
      <xdr:colOff>754944</xdr:colOff>
      <xdr:row>9</xdr:row>
      <xdr:rowOff>14111</xdr:rowOff>
    </xdr:from>
    <xdr:to>
      <xdr:col>12</xdr:col>
      <xdr:colOff>119944</xdr:colOff>
      <xdr:row>18</xdr:row>
      <xdr:rowOff>15240</xdr:rowOff>
    </xdr:to>
    <xdr:graphicFrame macro="">
      <xdr:nvGraphicFramePr>
        <xdr:cNvPr id="42" name="Chart 41">
          <a:extLst>
            <a:ext uri="{FF2B5EF4-FFF2-40B4-BE49-F238E27FC236}">
              <a16:creationId xmlns:a16="http://schemas.microsoft.com/office/drawing/2014/main" id="{276EB56E-30BC-4054-B1B1-0E471AA8F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2</xdr:col>
      <xdr:colOff>69944</xdr:colOff>
      <xdr:row>2</xdr:row>
      <xdr:rowOff>9203</xdr:rowOff>
    </xdr:from>
    <xdr:to>
      <xdr:col>4</xdr:col>
      <xdr:colOff>126388</xdr:colOff>
      <xdr:row>3</xdr:row>
      <xdr:rowOff>72702</xdr:rowOff>
    </xdr:to>
    <xdr:sp macro="" textlink="">
      <xdr:nvSpPr>
        <xdr:cNvPr id="43" name="TextBox 42">
          <a:extLst>
            <a:ext uri="{FF2B5EF4-FFF2-40B4-BE49-F238E27FC236}">
              <a16:creationId xmlns:a16="http://schemas.microsoft.com/office/drawing/2014/main" id="{EDE34917-76FE-125B-F558-D17B7FF6FEA2}"/>
            </a:ext>
          </a:extLst>
        </xdr:cNvPr>
        <xdr:cNvSpPr txBox="1"/>
      </xdr:nvSpPr>
      <xdr:spPr>
        <a:xfrm>
          <a:off x="1858987" y="489594"/>
          <a:ext cx="1845488" cy="303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800" baseline="0">
              <a:latin typeface="+mn-lt"/>
              <a:ea typeface="Calibri" panose="020F0502020204030204" pitchFamily="34" charset="0"/>
              <a:cs typeface="Calibri" panose="020F0502020204030204" pitchFamily="34" charset="0"/>
            </a:rPr>
            <a:t>Monthly Report</a:t>
          </a:r>
        </a:p>
        <a:p>
          <a:pPr algn="ctr"/>
          <a:endParaRPr lang="en-US" sz="1400">
            <a:latin typeface="+mn-lt"/>
            <a:ea typeface="Calibri" panose="020F0502020204030204" pitchFamily="34" charset="0"/>
            <a:cs typeface="Calibri" panose="020F0502020204030204" pitchFamily="34" charset="0"/>
          </a:endParaRPr>
        </a:p>
      </xdr:txBody>
    </xdr:sp>
    <xdr:clientData/>
  </xdr:twoCellAnchor>
  <xdr:twoCellAnchor editAs="absolute">
    <xdr:from>
      <xdr:col>8</xdr:col>
      <xdr:colOff>565574</xdr:colOff>
      <xdr:row>18</xdr:row>
      <xdr:rowOff>88053</xdr:rowOff>
    </xdr:from>
    <xdr:to>
      <xdr:col>11</xdr:col>
      <xdr:colOff>617219</xdr:colOff>
      <xdr:row>19</xdr:row>
      <xdr:rowOff>151553</xdr:rowOff>
    </xdr:to>
    <xdr:sp macro="" textlink="">
      <xdr:nvSpPr>
        <xdr:cNvPr id="44" name="TextBox 43">
          <a:extLst>
            <a:ext uri="{FF2B5EF4-FFF2-40B4-BE49-F238E27FC236}">
              <a16:creationId xmlns:a16="http://schemas.microsoft.com/office/drawing/2014/main" id="{58A95933-B99A-DA1A-182A-AA99E9AC500C}"/>
            </a:ext>
          </a:extLst>
        </xdr:cNvPr>
        <xdr:cNvSpPr txBox="1"/>
      </xdr:nvSpPr>
      <xdr:spPr>
        <a:xfrm>
          <a:off x="7697894" y="4340013"/>
          <a:ext cx="2726265" cy="299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aseline="0">
              <a:latin typeface="+mn-lt"/>
              <a:ea typeface="Calibri" panose="020F0502020204030204" pitchFamily="34" charset="0"/>
              <a:cs typeface="Calibri" panose="020F0502020204030204" pitchFamily="34" charset="0"/>
            </a:rPr>
            <a:t>No.of patient by department Referal</a:t>
          </a:r>
        </a:p>
        <a:p>
          <a:pPr algn="ctr"/>
          <a:endParaRPr lang="en-US" sz="1400">
            <a:latin typeface="+mn-lt"/>
            <a:ea typeface="Calibri" panose="020F0502020204030204" pitchFamily="34" charset="0"/>
            <a:cs typeface="Calibri" panose="020F0502020204030204" pitchFamily="34" charset="0"/>
          </a:endParaRPr>
        </a:p>
      </xdr:txBody>
    </xdr:sp>
    <xdr:clientData/>
  </xdr:twoCellAnchor>
  <xdr:twoCellAnchor editAs="oneCell">
    <xdr:from>
      <xdr:col>5</xdr:col>
      <xdr:colOff>845820</xdr:colOff>
      <xdr:row>1</xdr:row>
      <xdr:rowOff>18898</xdr:rowOff>
    </xdr:from>
    <xdr:to>
      <xdr:col>7</xdr:col>
      <xdr:colOff>525780</xdr:colOff>
      <xdr:row>3</xdr:row>
      <xdr:rowOff>12346</xdr:rowOff>
    </xdr:to>
    <mc:AlternateContent xmlns:mc="http://schemas.openxmlformats.org/markup-compatibility/2006" xmlns:a14="http://schemas.microsoft.com/office/drawing/2010/main">
      <mc:Choice Requires="a14">
        <xdr:graphicFrame macro="">
          <xdr:nvGraphicFramePr>
            <xdr:cNvPr id="45" name="Date (Year)">
              <a:extLst>
                <a:ext uri="{FF2B5EF4-FFF2-40B4-BE49-F238E27FC236}">
                  <a16:creationId xmlns:a16="http://schemas.microsoft.com/office/drawing/2014/main" id="{7B8564EB-A414-4CE1-86EB-080D5C6C6F9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303520" y="255118"/>
              <a:ext cx="1463040" cy="4658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441960</xdr:colOff>
          <xdr:row>8</xdr:row>
          <xdr:rowOff>83820</xdr:rowOff>
        </xdr:from>
        <xdr:to>
          <xdr:col>7</xdr:col>
          <xdr:colOff>579120</xdr:colOff>
          <xdr:row>11</xdr:row>
          <xdr:rowOff>175260</xdr:rowOff>
        </xdr:to>
        <xdr:pic>
          <xdr:nvPicPr>
            <xdr:cNvPr id="47" name="Picture 46">
              <a:extLst>
                <a:ext uri="{FF2B5EF4-FFF2-40B4-BE49-F238E27FC236}">
                  <a16:creationId xmlns:a16="http://schemas.microsoft.com/office/drawing/2014/main" id="{BE37A7C6-F437-52E6-4349-AC0518035147}"/>
                </a:ext>
              </a:extLst>
            </xdr:cNvPr>
            <xdr:cNvPicPr>
              <a:picLocks noChangeAspect="1" noChangeArrowheads="1"/>
              <a:extLst>
                <a:ext uri="{84589F7E-364E-4C9E-8A38-B11213B215E9}">
                  <a14:cameraTool cellRange="'Pivot Report'!$A$56:$D$58" spid="_x0000_s1071"/>
                </a:ext>
              </a:extLst>
            </xdr:cNvPicPr>
          </xdr:nvPicPr>
          <xdr:blipFill>
            <a:blip xmlns:r="http://schemas.openxmlformats.org/officeDocument/2006/relationships" r:embed="rId20"/>
            <a:srcRect/>
            <a:stretch>
              <a:fillRect/>
            </a:stretch>
          </xdr:blipFill>
          <xdr:spPr bwMode="auto">
            <a:xfrm>
              <a:off x="1333500" y="1973580"/>
              <a:ext cx="5486400" cy="8001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342900</xdr:colOff>
      <xdr:row>1</xdr:row>
      <xdr:rowOff>30480</xdr:rowOff>
    </xdr:from>
    <xdr:to>
      <xdr:col>13</xdr:col>
      <xdr:colOff>327660</xdr:colOff>
      <xdr:row>22</xdr:row>
      <xdr:rowOff>106680</xdr:rowOff>
    </xdr:to>
    <xdr:graphicFrame macro="">
      <xdr:nvGraphicFramePr>
        <xdr:cNvPr id="2" name="Chart 1">
          <a:extLst>
            <a:ext uri="{FF2B5EF4-FFF2-40B4-BE49-F238E27FC236}">
              <a16:creationId xmlns:a16="http://schemas.microsoft.com/office/drawing/2014/main" id="{F5B61BED-F085-4310-B30B-B3D9F0D2E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0.00289</cdr:x>
      <cdr:y>0.00195</cdr:y>
    </cdr:from>
    <cdr:to>
      <cdr:x>0.08189</cdr:x>
      <cdr:y>0.16342</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CF4C0CC-AE53-13E5-F7E4-6D5983F6F72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2860" y="7620"/>
          <a:ext cx="624840" cy="63246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205740</xdr:colOff>
      <xdr:row>4</xdr:row>
      <xdr:rowOff>30480</xdr:rowOff>
    </xdr:from>
    <xdr:to>
      <xdr:col>16</xdr:col>
      <xdr:colOff>533400</xdr:colOff>
      <xdr:row>23</xdr:row>
      <xdr:rowOff>7620</xdr:rowOff>
    </xdr:to>
    <xdr:graphicFrame macro="">
      <xdr:nvGraphicFramePr>
        <xdr:cNvPr id="2" name="Chart 1">
          <a:extLst>
            <a:ext uri="{FF2B5EF4-FFF2-40B4-BE49-F238E27FC236}">
              <a16:creationId xmlns:a16="http://schemas.microsoft.com/office/drawing/2014/main" id="{242B6FBF-BDF8-4CF1-A3E1-DCC741338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220980</xdr:colOff>
      <xdr:row>4</xdr:row>
      <xdr:rowOff>0</xdr:rowOff>
    </xdr:from>
    <xdr:to>
      <xdr:col>1</xdr:col>
      <xdr:colOff>358140</xdr:colOff>
      <xdr:row>8</xdr:row>
      <xdr:rowOff>22860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D981AE77-CFAC-79FF-311A-56558D96A22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0980" y="731520"/>
          <a:ext cx="746760" cy="7543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152400</xdr:colOff>
      <xdr:row>5</xdr:row>
      <xdr:rowOff>53340</xdr:rowOff>
    </xdr:from>
    <xdr:to>
      <xdr:col>16</xdr:col>
      <xdr:colOff>106680</xdr:colOff>
      <xdr:row>22</xdr:row>
      <xdr:rowOff>160020</xdr:rowOff>
    </xdr:to>
    <xdr:graphicFrame macro="">
      <xdr:nvGraphicFramePr>
        <xdr:cNvPr id="2" name="Chart 1">
          <a:extLst>
            <a:ext uri="{FF2B5EF4-FFF2-40B4-BE49-F238E27FC236}">
              <a16:creationId xmlns:a16="http://schemas.microsoft.com/office/drawing/2014/main" id="{9C1C0D17-CEC9-4642-A2E4-70F9D5AEF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0.06593</cdr:x>
      <cdr:y>0.21327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D899A9A-7609-4AE7-471E-00554ECC0B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40080" cy="6858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 reddy" refreshedDate="46198.835425347221" backgroundQuery="1" createdVersion="8" refreshedVersion="8" minRefreshableVersion="3" recordCount="0" supportSubquery="1" supportAdvancedDrill="1" xr:uid="{BA0EAFC3-A08E-4A3A-BB1D-DD9AB6C71EAB}">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 reddy" refreshedDate="46198.835425694444" backgroundQuery="1" createdVersion="8" refreshedVersion="8" minRefreshableVersion="3" recordCount="0" supportSubquery="1" supportAdvancedDrill="1" xr:uid="{20C6ED96-8D3C-4AFF-B142-0248EFBD8DB7}">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 reddy" refreshedDate="46198.835425810183" backgroundQuery="1" createdVersion="8" refreshedVersion="8" minRefreshableVersion="3" recordCount="0" supportSubquery="1" supportAdvancedDrill="1" xr:uid="{3AC2C5A8-1E80-4334-8A8F-C87A21BFB782}">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 reddy" refreshedDate="46198.835426041667" backgroundQuery="1" createdVersion="8" refreshedVersion="8" minRefreshableVersion="3" recordCount="0" supportSubquery="1" supportAdvancedDrill="1" xr:uid="{CB9D38F6-D868-4E4B-8548-E39103EF16FA}">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 reddy" refreshedDate="46198.835426620368" backgroundQuery="1" createdVersion="8" refreshedVersion="8" minRefreshableVersion="3" recordCount="0" supportSubquery="1" supportAdvancedDrill="1" xr:uid="{6147BFCF-C427-41CA-9C9F-5A07B9906E61}">
  <cacheSource type="external" connectionId="3"/>
  <cacheFields count="4">
    <cacheField name="[Calendar_Table].[Date (Day)].[Date (Day)]" caption="Date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2-Mar"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 reddy" refreshedDate="46198.835427199076" backgroundQuery="1" createdVersion="8" refreshedVersion="8" minRefreshableVersion="3" recordCount="0" supportSubquery="1" supportAdvancedDrill="1" xr:uid="{604BAAAA-68C1-4FD5-9BF8-C8F04C3CEF86}">
  <cacheSource type="external" connectionId="3"/>
  <cacheFields count="4">
    <cacheField name="[Calendar_Table].[Date (Day)].[Date (Day)]" caption="Date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2-Mar"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 reddy" refreshedDate="46198.835427662038" backgroundQuery="1" createdVersion="8" refreshedVersion="8" minRefreshableVersion="3" recordCount="0" supportSubquery="1" supportAdvancedDrill="1" xr:uid="{88F4CCDC-B5AF-4950-B815-2333F94C1E9E}">
  <cacheSource type="external" connectionId="3"/>
  <cacheFields count="5">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 reddy" refreshedDate="46198.835428240738" backgroundQuery="1" createdVersion="8" refreshedVersion="8" minRefreshableVersion="3" recordCount="0" supportSubquery="1" supportAdvancedDrill="1" xr:uid="{F4B8DF8F-CE77-4FA6-BC51-C4B42873010A}">
  <cacheSource type="external" connectionId="3"/>
  <cacheFields count="4">
    <cacheField name="[Calendar_Table].[Date (Month)].[Date (Month)]" caption="Date (Month)" numFmtId="0" hierarchy="1" level="1">
      <sharedItems containsSemiMixedTypes="0" containsNonDate="0" containsString="0"/>
    </cacheField>
    <cacheField name="[Measures].[Count of Patient Age]" caption="Count of Patient Age" numFmtId="0" hierarchy="31" level="32767"/>
    <cacheField name="[Hospital Emergency Room Data].[Age Group].[Age Group]" caption="Age Group" numFmtId="0" hierarchy="16"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 reddy" refreshedDate="46198.835428935185" backgroundQuery="1" createdVersion="8" refreshedVersion="8" minRefreshableVersion="3" recordCount="0" supportSubquery="1" supportAdvancedDrill="1" xr:uid="{1B0C268A-39E4-4CEC-A2B5-6D5BE6C67701}">
  <cacheSource type="external" connectionId="3"/>
  <cacheFields count="4">
    <cacheField name="[Calendar_Table].[Date (Month)].[Date (Month)]" caption="Date (Month)" numFmtId="0" hierarchy="1" level="1">
      <sharedItems containsSemiMixedTypes="0" containsNonDate="0" containsString="0"/>
    </cacheField>
    <cacheField name="[Hospital Emergency Room Data].[Calculated Column 1].[Calculated Column 1]" caption="Calculated Column 1" numFmtId="0" hierarchy="17" level="1">
      <sharedItems count="2">
        <s v="Delay"/>
        <s v="Ontime"/>
      </sharedItems>
    </cacheField>
    <cacheField name="[Measures].[Count of Patient Waittime]" caption="Count of Patient Waittime"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 reddy" refreshedDate="46198.835429398147" backgroundQuery="1" createdVersion="8" refreshedVersion="8" minRefreshableVersion="3" recordCount="0" supportSubquery="1" supportAdvancedDrill="1" xr:uid="{3E2AFF98-BDAE-46BF-89DF-B320CBAE408C}">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 reddy" refreshedDate="46198.835429976854" backgroundQuery="1" createdVersion="8" refreshedVersion="8" minRefreshableVersion="3" recordCount="0" supportSubquery="1" supportAdvancedDrill="1" xr:uid="{1E40406E-7B31-4901-AAE6-AC4503D78DA7}">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 reddy" refreshedDate="46198.835430439816" backgroundQuery="1" createdVersion="8" refreshedVersion="8" minRefreshableVersion="3" recordCount="0" supportSubquery="1" supportAdvancedDrill="1" xr:uid="{7064FD58-333D-4588-9010-0E4755BCB443}">
  <cacheSource type="external" connectionId="3"/>
  <cacheFields count="3">
    <cacheField name="[Calendar_Table].[Date (Month)].[Date (Month)]" caption="Date (Month)" numFmtId="0" hierarchy="1" level="1">
      <sharedItems containsSemiMixedTypes="0" containsNonDate="0" containsString="0"/>
    </cacheField>
    <cacheField name="[Calendar_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 reddy" refreshedDate="46198.829692824074" backgroundQuery="1" createdVersion="3" refreshedVersion="8" minRefreshableVersion="3" recordCount="0" supportSubquery="1" supportAdvancedDrill="1" xr:uid="{BAC0D2C6-CC57-44CB-92E5-F4ACC27DFB3F}">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939125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8138AD-58F0-4ECE-B730-AB0262B3C717}" name="PivotTable6" cacheId="5" applyNumberFormats="0" applyBorderFormats="0" applyFontFormats="0" applyPatternFormats="0" applyAlignmentFormats="0" applyWidthHeightFormats="1" dataCaption="Values" tag="2ac0a83b-d1c7-40c0-a542-a973176befa8" updatedVersion="8" minRefreshableVersion="3" subtotalHiddenItems="1" itemPrintTitles="1" createdVersion="8" indent="0" outline="1" outlineData="1" multipleFieldFilters="0" chartFormat="24">
  <location ref="L8:M40"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1">
      <pivotArea collapsedLevelsAreSubtotals="1" fieldPosition="0">
        <references count="1">
          <reference field="0" count="1">
            <x v="31"/>
          </reference>
        </references>
      </pivotArea>
    </format>
    <format dxfId="0">
      <pivotArea outline="0" collapsedLevelsAreSubtotals="1" fieldPosition="0"/>
    </format>
  </formats>
  <chartFormats count="2">
    <chartFormat chart="18"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C7D49C-C1BE-40FB-82F9-E100D3CA02A7}" name="PivotTable10" cacheId="9" applyNumberFormats="0" applyBorderFormats="0" applyFontFormats="0" applyPatternFormats="0" applyAlignmentFormats="0" applyWidthHeightFormats="1" dataCaption="Values" tag="2ac0a83b-d1c7-40c0-a542-a973176befa8" updatedVersion="8" minRefreshableVersion="3" subtotalHiddenItems="1" itemPrintTitles="1" createdVersion="8" indent="0" outline="1" outlineData="1" multipleFieldFilters="0" chartFormat="19" rowHeaderCaption="Row labels">
  <location ref="A83:B8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Count of Patient Age"/>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056E3B-7191-4D90-A8E4-734DBE132678}" name="PivotTable2" cacheId="2" applyNumberFormats="0" applyBorderFormats="0" applyFontFormats="0" applyPatternFormats="0" applyAlignmentFormats="0" applyWidthHeightFormats="1" dataCaption="Values" tag="1977f865-162f-456c-a38d-5bdf91da414c" updatedVersion="8" minRefreshableVersion="3"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21EA62-D9A9-469D-9CA7-B9BE56EF8AE3}" name="PivotTable5" cacheId="4" applyNumberFormats="0" applyBorderFormats="0" applyFontFormats="0" applyPatternFormats="0" applyAlignmentFormats="0" applyWidthHeightFormats="1" dataCaption="Values" tag="2ac0a83b-d1c7-40c0-a542-a973176befa8" updatedVersion="8" minRefreshableVersion="3" subtotalHiddenItems="1" itemPrintTitles="1" createdVersion="8" indent="0" outline="1" outlineData="1" multipleFieldFilters="0" chartFormat="16">
  <location ref="I8:J40"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4">
      <pivotArea collapsedLevelsAreSubtotals="1" fieldPosition="0">
        <references count="1">
          <reference field="0" count="1">
            <x v="31"/>
          </reference>
        </references>
      </pivotArea>
    </format>
    <format dxfId="3">
      <pivotArea outline="0" collapsedLevelsAreSubtotals="1" fieldPosition="0"/>
    </format>
  </formats>
  <chartFormats count="2">
    <chartFormat chart="12"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F3CA51-FA69-4C0C-9D5E-E32A7961B498}" name="PivotTable9" cacheId="8" applyNumberFormats="0" applyBorderFormats="0" applyFontFormats="0" applyPatternFormats="0" applyAlignmentFormats="0" applyWidthHeightFormats="1" dataCaption="Values" tag="2ac0a83b-d1c7-40c0-a542-a973176befa8" updatedVersion="8" minRefreshableVersion="3" subtotalHiddenItems="1" itemPrintTitles="1" createdVersion="8" indent="0" outline="1" outlineData="1" multipleFieldFilters="0" chartFormat="12" rowHeaderCaption="Row labels">
  <location ref="A77:B8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Waittime" fld="2" subtotal="count" baseField="1" baseItem="0"/>
  </dataFields>
  <chartFormats count="3">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0"/>
          </reference>
        </references>
      </pivotArea>
    </chartFormat>
    <chartFormat chart="10" format="8">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Count of Patient Age"/>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9623CE-F016-4DE0-830B-6B36F4D552B0}" name="PivotTable4" cacheId="0" applyNumberFormats="0" applyBorderFormats="0" applyFontFormats="0" applyPatternFormats="0" applyAlignmentFormats="0" applyWidthHeightFormats="1" dataCaption="Values" tag="2ac0a83b-d1c7-40c0-a542-a973176befa8" updatedVersion="8" minRefreshableVersion="3" subtotalHiddenItems="1" itemPrintTitles="1" createdVersion="8" indent="0" outline="1" outlineData="1" multipleFieldFilters="0" chartFormat="8">
  <location ref="F8:G40" firstHeaderRow="1" firstDataRow="1" firstDataCol="1"/>
  <pivotFields count="4">
    <pivotField dataField="1" subtotalTop="0" showAll="0" defaultSubtotal="0"/>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1AD771-8140-424D-8B40-6BE71A2471DA}" name="PivotTable8" cacheId="7" applyNumberFormats="0" applyBorderFormats="0" applyFontFormats="0" applyPatternFormats="0" applyAlignmentFormats="0" applyWidthHeightFormats="1" dataCaption="Values" tag="2ac0a83b-d1c7-40c0-a542-a973176befa8" updatedVersion="8" minRefreshableVersion="3" subtotalHiddenItems="1" itemPrintTitles="1" createdVersion="8" indent="0" outline="1" outlineData="1" multipleFieldFilters="0" chartFormat="6">
  <location ref="A62:B7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Age"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C3A576-5FE5-4D91-A17D-E4942C037461}" name="PivotTable1" cacheId="1" applyNumberFormats="0" applyBorderFormats="0" applyFontFormats="0" applyPatternFormats="0" applyAlignmentFormats="0" applyWidthHeightFormats="1" dataCaption="Values" tag="2ac0a83b-d1c7-40c0-a542-a973176befa8" updatedVersion="8" minRefreshableVersion="3" subtotalHiddenItems="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2B630B-B7CC-4EAC-B0F5-9FB5B8F3B60C}" name="PivotTable7" cacheId="6" applyNumberFormats="0" applyBorderFormats="0" applyFontFormats="0" applyPatternFormats="0" applyAlignmentFormats="0" applyWidthHeightFormats="1" dataCaption="Values" tag="2ac0a83b-d1c7-40c0-a542-a973176befa8" updatedVersion="8" minRefreshableVersion="3" subtotalHiddenItems="1" itemPrintTitles="1" createdVersion="8" indent="0" outline="1" outlineData="1" multipleFieldFilters="0" chartFormat="3">
  <location ref="A47:C50" firstHeaderRow="0" firstDataRow="1" firstDataCol="1"/>
  <pivotFields count="5">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780814-D748-46BF-8FD3-7A540734FFD1}" name="PivotTable12" cacheId="11" applyNumberFormats="0" applyBorderFormats="0" applyFontFormats="0" applyPatternFormats="0" applyAlignmentFormats="0" applyWidthHeightFormats="1" dataCaption="Values" tag="2ac0a83b-d1c7-40c0-a542-a973176befa8" updatedVersion="8" minRefreshableVersion="3" subtotalHiddenItems="1" itemPrintTitles="1" createdVersion="8" indent="0" outline="1" outlineData="1" multipleFieldFilters="0" chartFormat="22" rowHeaderCaption="Row labels">
  <location ref="A104:A10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s="1" x="0" e="0"/>
      </items>
    </pivotField>
  </pivotFields>
  <rowFields count="2">
    <field x="2"/>
    <field x="1"/>
  </rowFields>
  <rowItems count="2">
    <i>
      <x/>
    </i>
    <i t="grand">
      <x/>
    </i>
  </rowItem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Count of Patient Age"/>
    <pivotHierarchy dragToData="1" caption="Count of Patient Waittime"/>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443978-F3BD-42F0-B45E-00C78924292D}" name="PivotTable11" cacheId="10" applyNumberFormats="0" applyBorderFormats="0" applyFontFormats="0" applyPatternFormats="0" applyAlignmentFormats="0" applyWidthHeightFormats="1" dataCaption="Values" tag="2ac0a83b-d1c7-40c0-a542-a973176befa8" updatedVersion="8" minRefreshableVersion="3" subtotalHiddenItems="1" itemPrintTitles="1" createdVersion="8" indent="0" outline="1" outlineData="1" multipleFieldFilters="0" chartFormat="22" rowHeaderCaption="Row labels">
  <location ref="A90:B9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chartFormats count="1">
    <chartFormat chart="2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Count of Patient Age"/>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CE6AB4-93D9-44BD-85CF-1BC9B2580B65}" name="PivotTable3" cacheId="3" applyNumberFormats="0" applyBorderFormats="0" applyFontFormats="0" applyPatternFormats="0" applyAlignmentFormats="0" applyWidthHeightFormats="1" dataCaption="Values" tag="5ef6853e-e34c-4434-a1ac-2bba78703758" updatedVersion="8" minRefreshableVersion="3" subtotalHiddenItems="1" itemPrintTitles="1" createdVersion="8"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09C2F2C-4961-46CA-A19E-6E13868BFE84}"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093912515">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540F209-4603-4916-8915-B8241DFDF4AC}"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93912515">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D81AAC59-3F2F-4EB7-B8C1-E76EA6984CDE}" cache="Slicer_Date__Month" caption="Date (Month)" showCaption="0" level="1" style="SlicerStyleDark2" rowHeight="247650"/>
  <slicer name="Date (Year)" xr10:uid="{A011161A-7B35-4EC2-A0EA-F3FCAC943E14}" cache="Slicer_Date__Year" caption="Date (Year)" columnCount="2" showCaption="0" level="1"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FC44-4932-4A9F-BBBC-C35FC968523D}">
  <dimension ref="A6:M106"/>
  <sheetViews>
    <sheetView topLeftCell="A49" zoomScale="114" workbookViewId="0">
      <selection activeCell="A56" sqref="A56:D58"/>
    </sheetView>
  </sheetViews>
  <sheetFormatPr defaultRowHeight="14.4" x14ac:dyDescent="0.3"/>
  <cols>
    <col min="1" max="1" width="19.6640625" customWidth="1"/>
    <col min="2" max="2" width="23.33203125" customWidth="1"/>
    <col min="3" max="3" width="12.5546875" customWidth="1"/>
    <col min="4" max="4" width="18.44140625" customWidth="1"/>
    <col min="6" max="7" width="24.88671875" customWidth="1"/>
    <col min="8" max="8" width="6.6640625" customWidth="1"/>
    <col min="9" max="9" width="12.109375" customWidth="1"/>
    <col min="10" max="10" width="24.77734375" customWidth="1"/>
    <col min="12" max="12" width="24.6640625" customWidth="1"/>
    <col min="13" max="13" width="24.77734375" customWidth="1"/>
  </cols>
  <sheetData>
    <row r="6" spans="1:13" x14ac:dyDescent="0.3">
      <c r="A6" t="s">
        <v>0</v>
      </c>
    </row>
    <row r="7" spans="1:13" x14ac:dyDescent="0.3">
      <c r="A7" t="s">
        <v>1</v>
      </c>
      <c r="F7" t="s">
        <v>8</v>
      </c>
      <c r="I7" t="s">
        <v>9</v>
      </c>
      <c r="L7" t="s">
        <v>10</v>
      </c>
    </row>
    <row r="8" spans="1:13" x14ac:dyDescent="0.3">
      <c r="A8">
        <v>513</v>
      </c>
      <c r="F8" s="3" t="s">
        <v>6</v>
      </c>
      <c r="G8" t="s">
        <v>1</v>
      </c>
      <c r="I8" s="3" t="s">
        <v>6</v>
      </c>
      <c r="J8" t="s">
        <v>2</v>
      </c>
      <c r="L8" s="3" t="s">
        <v>6</v>
      </c>
      <c r="M8" t="s">
        <v>5</v>
      </c>
    </row>
    <row r="9" spans="1:13" x14ac:dyDescent="0.3">
      <c r="F9" s="4" t="s">
        <v>12</v>
      </c>
      <c r="G9">
        <v>19</v>
      </c>
      <c r="I9" s="4" t="s">
        <v>12</v>
      </c>
      <c r="J9" s="1">
        <v>37.789473684210527</v>
      </c>
      <c r="L9" s="4" t="s">
        <v>12</v>
      </c>
      <c r="M9" s="1">
        <v>6.666666666666667</v>
      </c>
    </row>
    <row r="10" spans="1:13" x14ac:dyDescent="0.3">
      <c r="F10" s="4" t="s">
        <v>13</v>
      </c>
      <c r="G10">
        <v>14</v>
      </c>
      <c r="I10" s="4" t="s">
        <v>13</v>
      </c>
      <c r="J10" s="1">
        <v>38.214285714285715</v>
      </c>
      <c r="L10" s="4" t="s">
        <v>13</v>
      </c>
      <c r="M10" s="1">
        <v>3.5</v>
      </c>
    </row>
    <row r="11" spans="1:13" x14ac:dyDescent="0.3">
      <c r="A11" t="s">
        <v>2</v>
      </c>
      <c r="F11" s="4" t="s">
        <v>14</v>
      </c>
      <c r="G11">
        <v>13</v>
      </c>
      <c r="I11" s="4" t="s">
        <v>14</v>
      </c>
      <c r="J11" s="1">
        <v>40.92307692307692</v>
      </c>
      <c r="L11" s="4" t="s">
        <v>14</v>
      </c>
      <c r="M11" s="1">
        <v>4.5</v>
      </c>
    </row>
    <row r="12" spans="1:13" x14ac:dyDescent="0.3">
      <c r="A12" s="1">
        <v>36.323586744639378</v>
      </c>
      <c r="F12" s="4" t="s">
        <v>15</v>
      </c>
      <c r="G12">
        <v>22</v>
      </c>
      <c r="I12" s="4" t="s">
        <v>15</v>
      </c>
      <c r="J12" s="1">
        <v>34.5</v>
      </c>
      <c r="L12" s="4" t="s">
        <v>15</v>
      </c>
      <c r="M12" s="1">
        <v>4.8</v>
      </c>
    </row>
    <row r="13" spans="1:13" x14ac:dyDescent="0.3">
      <c r="F13" s="4" t="s">
        <v>16</v>
      </c>
      <c r="G13">
        <v>19</v>
      </c>
      <c r="I13" s="4" t="s">
        <v>16</v>
      </c>
      <c r="J13" s="1">
        <v>30.684210526315791</v>
      </c>
      <c r="L13" s="4" t="s">
        <v>16</v>
      </c>
      <c r="M13" s="1">
        <v>7.75</v>
      </c>
    </row>
    <row r="14" spans="1:13" x14ac:dyDescent="0.3">
      <c r="F14" s="4" t="s">
        <v>17</v>
      </c>
      <c r="G14">
        <v>15</v>
      </c>
      <c r="I14" s="4" t="s">
        <v>17</v>
      </c>
      <c r="J14" s="1">
        <v>37.666666666666664</v>
      </c>
      <c r="L14" s="4" t="s">
        <v>17</v>
      </c>
      <c r="M14" s="1">
        <v>6.2</v>
      </c>
    </row>
    <row r="15" spans="1:13" x14ac:dyDescent="0.3">
      <c r="A15" t="s">
        <v>5</v>
      </c>
      <c r="F15" s="4" t="s">
        <v>18</v>
      </c>
      <c r="G15">
        <v>12</v>
      </c>
      <c r="I15" s="4" t="s">
        <v>18</v>
      </c>
      <c r="J15" s="1">
        <v>36.083333333333336</v>
      </c>
      <c r="L15" s="4" t="s">
        <v>18</v>
      </c>
      <c r="M15" s="1">
        <v>3.75</v>
      </c>
    </row>
    <row r="16" spans="1:13" x14ac:dyDescent="0.3">
      <c r="A16" s="1">
        <v>4.9591836734693882</v>
      </c>
      <c r="F16" s="4" t="s">
        <v>19</v>
      </c>
      <c r="G16">
        <v>21</v>
      </c>
      <c r="I16" s="4" t="s">
        <v>19</v>
      </c>
      <c r="J16" s="1">
        <v>43.523809523809526</v>
      </c>
      <c r="L16" s="4" t="s">
        <v>19</v>
      </c>
      <c r="M16" s="1">
        <v>6.5</v>
      </c>
    </row>
    <row r="17" spans="6:13" x14ac:dyDescent="0.3">
      <c r="F17" s="4" t="s">
        <v>20</v>
      </c>
      <c r="G17">
        <v>12</v>
      </c>
      <c r="I17" s="4" t="s">
        <v>20</v>
      </c>
      <c r="J17" s="1">
        <v>29.5</v>
      </c>
      <c r="L17" s="4" t="s">
        <v>20</v>
      </c>
      <c r="M17" s="1">
        <v>3</v>
      </c>
    </row>
    <row r="18" spans="6:13" x14ac:dyDescent="0.3">
      <c r="F18" s="4" t="s">
        <v>21</v>
      </c>
      <c r="G18">
        <v>13</v>
      </c>
      <c r="I18" s="4" t="s">
        <v>21</v>
      </c>
      <c r="J18" s="1">
        <v>38.07692307692308</v>
      </c>
      <c r="L18" s="4" t="s">
        <v>21</v>
      </c>
      <c r="M18" s="1">
        <v>4.5</v>
      </c>
    </row>
    <row r="19" spans="6:13" x14ac:dyDescent="0.3">
      <c r="F19" s="4" t="s">
        <v>22</v>
      </c>
      <c r="G19">
        <v>13</v>
      </c>
      <c r="I19" s="4" t="s">
        <v>22</v>
      </c>
      <c r="J19" s="1">
        <v>35.846153846153847</v>
      </c>
      <c r="L19" s="4" t="s">
        <v>22</v>
      </c>
      <c r="M19" s="1">
        <v>6</v>
      </c>
    </row>
    <row r="20" spans="6:13" x14ac:dyDescent="0.3">
      <c r="F20" s="4" t="s">
        <v>23</v>
      </c>
      <c r="G20">
        <v>16</v>
      </c>
      <c r="I20" s="4" t="s">
        <v>23</v>
      </c>
      <c r="J20" s="1">
        <v>32.625</v>
      </c>
      <c r="L20" s="4" t="s">
        <v>23</v>
      </c>
      <c r="M20" s="1">
        <v>5.2</v>
      </c>
    </row>
    <row r="21" spans="6:13" x14ac:dyDescent="0.3">
      <c r="F21" s="4" t="s">
        <v>24</v>
      </c>
      <c r="G21">
        <v>20</v>
      </c>
      <c r="I21" s="4" t="s">
        <v>24</v>
      </c>
      <c r="J21" s="1">
        <v>39.200000000000003</v>
      </c>
      <c r="L21" s="4" t="s">
        <v>24</v>
      </c>
      <c r="M21" s="1">
        <v>4.4000000000000004</v>
      </c>
    </row>
    <row r="22" spans="6:13" x14ac:dyDescent="0.3">
      <c r="F22" s="4" t="s">
        <v>25</v>
      </c>
      <c r="G22">
        <v>25</v>
      </c>
      <c r="I22" s="4" t="s">
        <v>25</v>
      </c>
      <c r="J22" s="1">
        <v>35.28</v>
      </c>
      <c r="L22" s="4" t="s">
        <v>25</v>
      </c>
      <c r="M22" s="1">
        <v>3.4545454545454546</v>
      </c>
    </row>
    <row r="23" spans="6:13" x14ac:dyDescent="0.3">
      <c r="F23" s="4" t="s">
        <v>26</v>
      </c>
      <c r="G23">
        <v>20</v>
      </c>
      <c r="I23" s="4" t="s">
        <v>26</v>
      </c>
      <c r="J23" s="1">
        <v>32.549999999999997</v>
      </c>
      <c r="L23" s="4" t="s">
        <v>26</v>
      </c>
      <c r="M23" s="1">
        <v>4.4000000000000004</v>
      </c>
    </row>
    <row r="24" spans="6:13" x14ac:dyDescent="0.3">
      <c r="F24" s="4" t="s">
        <v>27</v>
      </c>
      <c r="G24">
        <v>14</v>
      </c>
      <c r="I24" s="4" t="s">
        <v>27</v>
      </c>
      <c r="J24" s="1">
        <v>35.642857142857146</v>
      </c>
      <c r="L24" s="4" t="s">
        <v>27</v>
      </c>
      <c r="M24" s="1">
        <v>5.833333333333333</v>
      </c>
    </row>
    <row r="25" spans="6:13" x14ac:dyDescent="0.3">
      <c r="F25" s="4" t="s">
        <v>28</v>
      </c>
      <c r="G25">
        <v>17</v>
      </c>
      <c r="I25" s="4" t="s">
        <v>28</v>
      </c>
      <c r="J25" s="1">
        <v>38.764705882352942</v>
      </c>
      <c r="L25" s="4" t="s">
        <v>28</v>
      </c>
      <c r="M25" s="1">
        <v>4.4444444444444446</v>
      </c>
    </row>
    <row r="26" spans="6:13" x14ac:dyDescent="0.3">
      <c r="F26" s="4" t="s">
        <v>29</v>
      </c>
      <c r="G26">
        <v>20</v>
      </c>
      <c r="I26" s="4" t="s">
        <v>29</v>
      </c>
      <c r="J26" s="1">
        <v>39.9</v>
      </c>
      <c r="L26" s="4" t="s">
        <v>29</v>
      </c>
      <c r="M26" s="1">
        <v>5.333333333333333</v>
      </c>
    </row>
    <row r="27" spans="6:13" x14ac:dyDescent="0.3">
      <c r="F27" s="4" t="s">
        <v>30</v>
      </c>
      <c r="G27">
        <v>10</v>
      </c>
      <c r="I27" s="4" t="s">
        <v>30</v>
      </c>
      <c r="J27" s="1">
        <v>41.6</v>
      </c>
      <c r="L27" s="4" t="s">
        <v>30</v>
      </c>
      <c r="M27" s="1">
        <v>5.333333333333333</v>
      </c>
    </row>
    <row r="28" spans="6:13" x14ac:dyDescent="0.3">
      <c r="F28" s="4" t="s">
        <v>31</v>
      </c>
      <c r="G28">
        <v>17</v>
      </c>
      <c r="I28" s="4" t="s">
        <v>31</v>
      </c>
      <c r="J28" s="1">
        <v>39.470588235294116</v>
      </c>
      <c r="L28" s="4" t="s">
        <v>31</v>
      </c>
      <c r="M28" s="1">
        <v>5.5714285714285712</v>
      </c>
    </row>
    <row r="29" spans="6:13" x14ac:dyDescent="0.3">
      <c r="F29" s="4" t="s">
        <v>32</v>
      </c>
      <c r="G29">
        <v>15</v>
      </c>
      <c r="I29" s="4" t="s">
        <v>32</v>
      </c>
      <c r="J29" s="1">
        <v>27.733333333333334</v>
      </c>
      <c r="L29" s="4" t="s">
        <v>32</v>
      </c>
      <c r="M29" s="1">
        <v>5</v>
      </c>
    </row>
    <row r="30" spans="6:13" x14ac:dyDescent="0.3">
      <c r="F30" s="4" t="s">
        <v>33</v>
      </c>
      <c r="G30">
        <v>16</v>
      </c>
      <c r="I30" s="4" t="s">
        <v>33</v>
      </c>
      <c r="J30" s="1">
        <v>36.875</v>
      </c>
      <c r="L30" s="4" t="s">
        <v>33</v>
      </c>
      <c r="M30" s="1">
        <v>6.4</v>
      </c>
    </row>
    <row r="31" spans="6:13" x14ac:dyDescent="0.3">
      <c r="F31" s="4" t="s">
        <v>34</v>
      </c>
      <c r="G31">
        <v>18</v>
      </c>
      <c r="I31" s="4" t="s">
        <v>34</v>
      </c>
      <c r="J31" s="1">
        <v>40.333333333333336</v>
      </c>
      <c r="L31" s="4" t="s">
        <v>34</v>
      </c>
      <c r="M31" s="1">
        <v>5.333333333333333</v>
      </c>
    </row>
    <row r="32" spans="6:13" x14ac:dyDescent="0.3">
      <c r="F32" s="4" t="s">
        <v>35</v>
      </c>
      <c r="G32">
        <v>16</v>
      </c>
      <c r="I32" s="4" t="s">
        <v>35</v>
      </c>
      <c r="J32" s="1">
        <v>36.5</v>
      </c>
      <c r="L32" s="4" t="s">
        <v>35</v>
      </c>
      <c r="M32" s="1">
        <v>3.75</v>
      </c>
    </row>
    <row r="33" spans="1:13" x14ac:dyDescent="0.3">
      <c r="F33" s="4" t="s">
        <v>36</v>
      </c>
      <c r="G33">
        <v>15</v>
      </c>
      <c r="I33" s="4" t="s">
        <v>36</v>
      </c>
      <c r="J33" s="1">
        <v>32.866666666666667</v>
      </c>
      <c r="L33" s="4" t="s">
        <v>36</v>
      </c>
      <c r="M33" s="1">
        <v>6.333333333333333</v>
      </c>
    </row>
    <row r="34" spans="1:13" x14ac:dyDescent="0.3">
      <c r="F34" s="4" t="s">
        <v>37</v>
      </c>
      <c r="G34">
        <v>14</v>
      </c>
      <c r="I34" s="4" t="s">
        <v>37</v>
      </c>
      <c r="J34" s="1">
        <v>36.642857142857146</v>
      </c>
      <c r="L34" s="4" t="s">
        <v>37</v>
      </c>
      <c r="M34" s="1">
        <v>10</v>
      </c>
    </row>
    <row r="35" spans="1:13" x14ac:dyDescent="0.3">
      <c r="F35" s="4" t="s">
        <v>38</v>
      </c>
      <c r="G35">
        <v>16</v>
      </c>
      <c r="I35" s="4" t="s">
        <v>38</v>
      </c>
      <c r="J35" s="1">
        <v>36.5625</v>
      </c>
      <c r="L35" s="4" t="s">
        <v>38</v>
      </c>
      <c r="M35" s="1">
        <v>5</v>
      </c>
    </row>
    <row r="36" spans="1:13" x14ac:dyDescent="0.3">
      <c r="F36" s="4" t="s">
        <v>39</v>
      </c>
      <c r="G36">
        <v>20</v>
      </c>
      <c r="I36" s="4" t="s">
        <v>39</v>
      </c>
      <c r="J36" s="1">
        <v>32.15</v>
      </c>
      <c r="L36" s="4" t="s">
        <v>39</v>
      </c>
      <c r="M36" s="1">
        <v>5.333333333333333</v>
      </c>
    </row>
    <row r="37" spans="1:13" x14ac:dyDescent="0.3">
      <c r="F37" s="4" t="s">
        <v>40</v>
      </c>
      <c r="G37">
        <v>19</v>
      </c>
      <c r="I37" s="4" t="s">
        <v>40</v>
      </c>
      <c r="J37" s="1">
        <v>38.368421052631582</v>
      </c>
      <c r="L37" s="4" t="s">
        <v>40</v>
      </c>
      <c r="M37" s="1">
        <v>4.8</v>
      </c>
    </row>
    <row r="38" spans="1:13" x14ac:dyDescent="0.3">
      <c r="F38" s="4" t="s">
        <v>41</v>
      </c>
      <c r="G38">
        <v>14</v>
      </c>
      <c r="I38" s="4" t="s">
        <v>41</v>
      </c>
      <c r="J38" s="1">
        <v>33.071428571428569</v>
      </c>
      <c r="L38" s="4" t="s">
        <v>41</v>
      </c>
      <c r="M38" s="1">
        <v>5</v>
      </c>
    </row>
    <row r="39" spans="1:13" x14ac:dyDescent="0.3">
      <c r="F39" s="4" t="s">
        <v>42</v>
      </c>
      <c r="G39">
        <v>18</v>
      </c>
      <c r="I39" s="4" t="s">
        <v>42</v>
      </c>
      <c r="J39" s="1">
        <v>36.444444444444443</v>
      </c>
      <c r="L39" s="4" t="s">
        <v>42</v>
      </c>
      <c r="M39" s="1">
        <v>1.4</v>
      </c>
    </row>
    <row r="40" spans="1:13" x14ac:dyDescent="0.3">
      <c r="F40" s="4" t="s">
        <v>7</v>
      </c>
      <c r="G40">
        <v>513</v>
      </c>
      <c r="I40" s="4" t="s">
        <v>7</v>
      </c>
      <c r="J40" s="1">
        <v>36.323586744639378</v>
      </c>
      <c r="L40" s="4" t="s">
        <v>7</v>
      </c>
      <c r="M40" s="1">
        <v>4.9591836734693882</v>
      </c>
    </row>
    <row r="47" spans="1:13" x14ac:dyDescent="0.3">
      <c r="A47" s="3" t="s">
        <v>6</v>
      </c>
      <c r="B47" t="s">
        <v>43</v>
      </c>
      <c r="C47" t="s">
        <v>11</v>
      </c>
    </row>
    <row r="48" spans="1:13" x14ac:dyDescent="0.3">
      <c r="A48" s="4" t="s">
        <v>3</v>
      </c>
      <c r="B48">
        <v>269</v>
      </c>
      <c r="C48" s="7">
        <v>0.52436647173489281</v>
      </c>
    </row>
    <row r="49" spans="1:4" x14ac:dyDescent="0.3">
      <c r="A49" s="4" t="s">
        <v>4</v>
      </c>
      <c r="B49">
        <v>244</v>
      </c>
      <c r="C49" s="7">
        <v>0.47563352826510719</v>
      </c>
    </row>
    <row r="50" spans="1:4" x14ac:dyDescent="0.3">
      <c r="A50" s="4" t="s">
        <v>7</v>
      </c>
      <c r="B50">
        <v>513</v>
      </c>
      <c r="C50" s="7">
        <v>1</v>
      </c>
    </row>
    <row r="55" spans="1:4" ht="12.6" customHeight="1" x14ac:dyDescent="0.3"/>
    <row r="56" spans="1:4" x14ac:dyDescent="0.3">
      <c r="A56" s="9" t="s">
        <v>44</v>
      </c>
      <c r="B56" s="9" t="s">
        <v>46</v>
      </c>
      <c r="C56" s="9" t="s">
        <v>45</v>
      </c>
      <c r="D56" s="8"/>
    </row>
    <row r="57" spans="1:4" ht="19.2" customHeight="1" x14ac:dyDescent="0.3">
      <c r="A57" s="10" t="str">
        <f>A49</f>
        <v>Not Admitted</v>
      </c>
      <c r="B57" s="10">
        <f>B49</f>
        <v>244</v>
      </c>
      <c r="C57" s="11">
        <f>C49</f>
        <v>0.47563352826510719</v>
      </c>
      <c r="D57" s="12"/>
    </row>
    <row r="58" spans="1:4" ht="18.600000000000001" customHeight="1" x14ac:dyDescent="0.3">
      <c r="A58" s="10" t="str">
        <f>A48</f>
        <v>Admitted</v>
      </c>
      <c r="B58" s="10">
        <f>B48</f>
        <v>269</v>
      </c>
      <c r="C58" s="11">
        <f>C48</f>
        <v>0.52436647173489281</v>
      </c>
      <c r="D58" s="12"/>
    </row>
    <row r="61" spans="1:4" x14ac:dyDescent="0.3">
      <c r="A61" t="s">
        <v>56</v>
      </c>
    </row>
    <row r="62" spans="1:4" x14ac:dyDescent="0.3">
      <c r="A62" s="3" t="s">
        <v>6</v>
      </c>
      <c r="B62" t="s">
        <v>47</v>
      </c>
    </row>
    <row r="63" spans="1:4" x14ac:dyDescent="0.3">
      <c r="A63" s="4" t="s">
        <v>48</v>
      </c>
      <c r="B63">
        <v>76</v>
      </c>
    </row>
    <row r="64" spans="1:4" x14ac:dyDescent="0.3">
      <c r="A64" s="4" t="s">
        <v>49</v>
      </c>
      <c r="B64">
        <v>69</v>
      </c>
    </row>
    <row r="65" spans="1:2" x14ac:dyDescent="0.3">
      <c r="A65" s="4" t="s">
        <v>50</v>
      </c>
      <c r="B65">
        <v>64</v>
      </c>
    </row>
    <row r="66" spans="1:2" x14ac:dyDescent="0.3">
      <c r="A66" s="4" t="s">
        <v>51</v>
      </c>
      <c r="B66">
        <v>59</v>
      </c>
    </row>
    <row r="67" spans="1:2" x14ac:dyDescent="0.3">
      <c r="A67" s="4" t="s">
        <v>52</v>
      </c>
      <c r="B67">
        <v>58</v>
      </c>
    </row>
    <row r="68" spans="1:2" x14ac:dyDescent="0.3">
      <c r="A68" s="4" t="s">
        <v>53</v>
      </c>
      <c r="B68">
        <v>66</v>
      </c>
    </row>
    <row r="69" spans="1:2" x14ac:dyDescent="0.3">
      <c r="A69" s="4" t="s">
        <v>54</v>
      </c>
      <c r="B69">
        <v>67</v>
      </c>
    </row>
    <row r="70" spans="1:2" x14ac:dyDescent="0.3">
      <c r="A70" s="4" t="s">
        <v>55</v>
      </c>
      <c r="B70">
        <v>54</v>
      </c>
    </row>
    <row r="71" spans="1:2" x14ac:dyDescent="0.3">
      <c r="A71" s="4" t="s">
        <v>7</v>
      </c>
      <c r="B71">
        <v>513</v>
      </c>
    </row>
    <row r="74" spans="1:2" x14ac:dyDescent="0.3">
      <c r="B74" s="6"/>
    </row>
    <row r="76" spans="1:2" x14ac:dyDescent="0.3">
      <c r="A76" t="s">
        <v>61</v>
      </c>
    </row>
    <row r="77" spans="1:2" x14ac:dyDescent="0.3">
      <c r="A77" s="3" t="s">
        <v>60</v>
      </c>
      <c r="B77" t="s">
        <v>59</v>
      </c>
    </row>
    <row r="78" spans="1:2" x14ac:dyDescent="0.3">
      <c r="A78" s="4" t="s">
        <v>58</v>
      </c>
      <c r="B78">
        <v>316</v>
      </c>
    </row>
    <row r="79" spans="1:2" x14ac:dyDescent="0.3">
      <c r="A79" s="4" t="s">
        <v>57</v>
      </c>
      <c r="B79">
        <v>197</v>
      </c>
    </row>
    <row r="80" spans="1:2" x14ac:dyDescent="0.3">
      <c r="A80" s="4" t="s">
        <v>7</v>
      </c>
      <c r="B80">
        <v>513</v>
      </c>
    </row>
    <row r="82" spans="1:2" x14ac:dyDescent="0.3">
      <c r="A82" s="4" t="s">
        <v>65</v>
      </c>
    </row>
    <row r="83" spans="1:2" x14ac:dyDescent="0.3">
      <c r="A83" s="3" t="s">
        <v>60</v>
      </c>
      <c r="B83" t="s">
        <v>64</v>
      </c>
    </row>
    <row r="84" spans="1:2" x14ac:dyDescent="0.3">
      <c r="A84" s="4" t="s">
        <v>62</v>
      </c>
      <c r="B84">
        <v>241</v>
      </c>
    </row>
    <row r="85" spans="1:2" x14ac:dyDescent="0.3">
      <c r="A85" s="4" t="s">
        <v>63</v>
      </c>
      <c r="B85">
        <v>272</v>
      </c>
    </row>
    <row r="86" spans="1:2" x14ac:dyDescent="0.3">
      <c r="A86" s="4" t="s">
        <v>7</v>
      </c>
      <c r="B86">
        <v>513</v>
      </c>
    </row>
    <row r="90" spans="1:2" x14ac:dyDescent="0.3">
      <c r="A90" s="3" t="s">
        <v>60</v>
      </c>
      <c r="B90" t="s">
        <v>74</v>
      </c>
    </row>
    <row r="91" spans="1:2" x14ac:dyDescent="0.3">
      <c r="A91" s="4" t="s">
        <v>67</v>
      </c>
      <c r="B91">
        <v>4</v>
      </c>
    </row>
    <row r="92" spans="1:2" x14ac:dyDescent="0.3">
      <c r="A92" s="4" t="s">
        <v>73</v>
      </c>
      <c r="B92">
        <v>5</v>
      </c>
    </row>
    <row r="93" spans="1:2" x14ac:dyDescent="0.3">
      <c r="A93" s="4" t="s">
        <v>69</v>
      </c>
      <c r="B93">
        <v>9</v>
      </c>
    </row>
    <row r="94" spans="1:2" x14ac:dyDescent="0.3">
      <c r="A94" s="4" t="s">
        <v>72</v>
      </c>
      <c r="B94">
        <v>14</v>
      </c>
    </row>
    <row r="95" spans="1:2" x14ac:dyDescent="0.3">
      <c r="A95" s="4" t="s">
        <v>66</v>
      </c>
      <c r="B95">
        <v>14</v>
      </c>
    </row>
    <row r="96" spans="1:2" x14ac:dyDescent="0.3">
      <c r="A96" s="4" t="s">
        <v>71</v>
      </c>
      <c r="B96">
        <v>65</v>
      </c>
    </row>
    <row r="97" spans="1:2" x14ac:dyDescent="0.3">
      <c r="A97" s="4" t="s">
        <v>68</v>
      </c>
      <c r="B97">
        <v>103</v>
      </c>
    </row>
    <row r="98" spans="1:2" x14ac:dyDescent="0.3">
      <c r="A98" s="4" t="s">
        <v>70</v>
      </c>
      <c r="B98">
        <v>299</v>
      </c>
    </row>
    <row r="99" spans="1:2" x14ac:dyDescent="0.3">
      <c r="A99" s="4" t="s">
        <v>7</v>
      </c>
      <c r="B99">
        <v>513</v>
      </c>
    </row>
    <row r="104" spans="1:2" x14ac:dyDescent="0.3">
      <c r="A104" s="3" t="s">
        <v>60</v>
      </c>
    </row>
    <row r="105" spans="1:2" x14ac:dyDescent="0.3">
      <c r="A105" s="4" t="s">
        <v>75</v>
      </c>
    </row>
    <row r="106" spans="1:2" x14ac:dyDescent="0.3">
      <c r="A106" s="4" t="s">
        <v>7</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9060-AA21-4CC5-9886-CBC6D84B988A}">
  <dimension ref="A1:U26"/>
  <sheetViews>
    <sheetView tabSelected="1" workbookViewId="0">
      <selection activeCell="N9" sqref="N9"/>
    </sheetView>
  </sheetViews>
  <sheetFormatPr defaultColWidth="13" defaultRowHeight="18.600000000000001" customHeight="1" x14ac:dyDescent="0.3"/>
  <sheetData>
    <row r="1" spans="1:21" ht="18.600000000000001" customHeight="1" x14ac:dyDescent="0.3">
      <c r="A1" s="2"/>
      <c r="B1" s="2"/>
      <c r="C1" s="2"/>
      <c r="D1" s="2"/>
      <c r="E1" s="2"/>
      <c r="F1" s="2"/>
      <c r="G1" s="2"/>
      <c r="H1" s="2"/>
      <c r="I1" s="2"/>
      <c r="J1" s="2"/>
      <c r="K1" s="2"/>
      <c r="L1" s="2"/>
      <c r="M1" s="2"/>
      <c r="N1" s="2"/>
      <c r="O1" s="2"/>
      <c r="P1" s="2"/>
      <c r="Q1" s="2"/>
      <c r="R1" s="2"/>
      <c r="S1" s="2"/>
      <c r="T1" s="2"/>
      <c r="U1" s="2"/>
    </row>
    <row r="2" spans="1:21" ht="18.600000000000001" customHeight="1" x14ac:dyDescent="0.3">
      <c r="A2" s="2"/>
      <c r="B2" s="2"/>
      <c r="C2" s="2"/>
      <c r="D2" s="2"/>
      <c r="E2" s="2"/>
      <c r="F2" s="2"/>
      <c r="G2" s="2"/>
      <c r="H2" s="2"/>
      <c r="I2" s="2"/>
      <c r="J2" s="2"/>
      <c r="K2" s="2"/>
      <c r="L2" s="2"/>
      <c r="M2" s="2"/>
      <c r="N2" s="2"/>
      <c r="O2" s="2"/>
      <c r="P2" s="2"/>
      <c r="Q2" s="2"/>
      <c r="R2" s="2"/>
      <c r="S2" s="2"/>
      <c r="T2" s="2"/>
      <c r="U2" s="2"/>
    </row>
    <row r="3" spans="1:21" ht="18.600000000000001" customHeight="1" x14ac:dyDescent="0.3">
      <c r="A3" s="2"/>
      <c r="B3" s="2"/>
      <c r="C3" s="2"/>
      <c r="D3" s="2"/>
      <c r="E3" s="2"/>
      <c r="F3" s="2"/>
      <c r="G3" s="2"/>
      <c r="H3" s="2"/>
      <c r="I3" s="2"/>
      <c r="J3" s="2"/>
      <c r="K3" s="2"/>
      <c r="L3" s="2"/>
      <c r="M3" s="2"/>
      <c r="N3" s="2"/>
      <c r="O3" s="2"/>
      <c r="P3" s="2"/>
      <c r="Q3" s="2"/>
      <c r="R3" s="2"/>
      <c r="S3" s="2"/>
      <c r="T3" s="2"/>
      <c r="U3" s="2"/>
    </row>
    <row r="4" spans="1:21" ht="18.600000000000001" customHeight="1" x14ac:dyDescent="0.3">
      <c r="A4" s="2"/>
      <c r="B4" s="2"/>
      <c r="C4" s="2"/>
      <c r="D4" s="2"/>
      <c r="E4" s="2"/>
      <c r="F4" s="2"/>
      <c r="G4" s="2"/>
      <c r="H4" s="2"/>
      <c r="I4" s="2"/>
      <c r="J4" s="2"/>
      <c r="K4" s="2"/>
      <c r="L4" s="2"/>
      <c r="M4" s="2"/>
      <c r="N4" s="2"/>
      <c r="O4" s="2"/>
      <c r="P4" s="2"/>
      <c r="Q4" s="2"/>
      <c r="R4" s="2"/>
      <c r="S4" s="2"/>
      <c r="T4" s="2"/>
      <c r="U4" s="2"/>
    </row>
    <row r="5" spans="1:21" ht="18.600000000000001" customHeight="1" x14ac:dyDescent="0.3">
      <c r="A5" s="2"/>
      <c r="B5" s="2"/>
      <c r="C5" s="2"/>
      <c r="D5" s="2"/>
      <c r="E5" s="2"/>
      <c r="F5" s="2"/>
      <c r="G5" s="2"/>
      <c r="H5" s="2"/>
      <c r="I5" s="2"/>
      <c r="J5" s="2"/>
      <c r="K5" s="2"/>
      <c r="L5" s="2"/>
      <c r="M5" s="2"/>
      <c r="N5" s="2"/>
      <c r="O5" s="2"/>
      <c r="P5" s="2"/>
      <c r="Q5" s="2"/>
      <c r="R5" s="2"/>
      <c r="S5" s="2"/>
      <c r="T5" s="2"/>
      <c r="U5" s="2"/>
    </row>
    <row r="6" spans="1:21" ht="18.600000000000001" customHeight="1" x14ac:dyDescent="0.3">
      <c r="A6" s="2"/>
      <c r="B6" s="2"/>
      <c r="C6" s="2"/>
      <c r="D6" s="2"/>
      <c r="E6" s="2"/>
      <c r="F6" s="2"/>
      <c r="G6" s="2"/>
      <c r="H6" s="2"/>
      <c r="I6" s="2"/>
      <c r="J6" s="2"/>
      <c r="K6" s="2"/>
      <c r="L6" s="2"/>
      <c r="M6" s="2"/>
      <c r="N6" s="2"/>
      <c r="O6" s="2"/>
      <c r="P6" s="2"/>
      <c r="Q6" s="2"/>
      <c r="R6" s="2"/>
      <c r="S6" s="2"/>
      <c r="T6" s="2"/>
      <c r="U6" s="2"/>
    </row>
    <row r="7" spans="1:21" ht="18.600000000000001" customHeight="1" x14ac:dyDescent="0.3">
      <c r="A7" s="2"/>
      <c r="B7" s="2"/>
      <c r="C7" s="2"/>
      <c r="D7" s="2"/>
      <c r="E7" s="2"/>
      <c r="F7" s="2"/>
      <c r="G7" s="2"/>
      <c r="H7" s="2"/>
      <c r="I7" s="2"/>
      <c r="J7" s="2"/>
      <c r="K7" s="2"/>
      <c r="L7" s="2"/>
      <c r="M7" s="2"/>
      <c r="N7" s="2"/>
      <c r="O7" s="2"/>
      <c r="P7" s="2"/>
      <c r="Q7" s="2"/>
      <c r="R7" s="2"/>
      <c r="S7" s="2"/>
      <c r="T7" s="2"/>
      <c r="U7" s="2"/>
    </row>
    <row r="8" spans="1:21" ht="18.600000000000001" customHeight="1" x14ac:dyDescent="0.3">
      <c r="A8" s="2"/>
      <c r="B8" s="2"/>
      <c r="C8" s="2"/>
      <c r="D8" s="2"/>
      <c r="E8" s="2"/>
      <c r="F8" s="2"/>
      <c r="G8" s="2"/>
      <c r="H8" s="2"/>
      <c r="I8" s="2"/>
      <c r="J8" s="2"/>
      <c r="K8" s="2"/>
      <c r="L8" s="2"/>
      <c r="M8" s="2"/>
      <c r="N8" s="2"/>
      <c r="O8" s="2"/>
      <c r="P8" s="2"/>
      <c r="Q8" s="2"/>
      <c r="R8" s="2"/>
      <c r="S8" s="2"/>
      <c r="T8" s="2"/>
      <c r="U8" s="2"/>
    </row>
    <row r="9" spans="1:21" ht="18.600000000000001" customHeight="1" x14ac:dyDescent="0.3">
      <c r="A9" s="2"/>
      <c r="B9" s="2"/>
      <c r="C9" s="2"/>
      <c r="D9" s="2"/>
      <c r="E9" s="2"/>
      <c r="F9" s="2"/>
      <c r="G9" s="2"/>
      <c r="H9" s="2"/>
      <c r="I9" s="2"/>
      <c r="J9" s="2"/>
      <c r="K9" s="2"/>
      <c r="L9" s="2"/>
      <c r="M9" s="2"/>
      <c r="N9" s="2"/>
      <c r="O9" s="2"/>
      <c r="P9" s="2"/>
      <c r="Q9" s="2"/>
      <c r="R9" s="2"/>
      <c r="S9" s="2"/>
      <c r="T9" s="2"/>
      <c r="U9" s="2"/>
    </row>
    <row r="10" spans="1:21" ht="18.600000000000001" customHeight="1" x14ac:dyDescent="0.3">
      <c r="A10" s="2"/>
      <c r="B10" s="2"/>
      <c r="C10" s="2"/>
      <c r="D10" s="2"/>
      <c r="E10" s="2"/>
      <c r="F10" s="2"/>
      <c r="G10" s="2"/>
      <c r="H10" s="2"/>
      <c r="I10" s="2"/>
      <c r="J10" s="2"/>
      <c r="K10" s="2"/>
      <c r="L10" s="2"/>
      <c r="M10" s="2"/>
      <c r="N10" s="2"/>
      <c r="O10" s="2"/>
      <c r="P10" s="2"/>
      <c r="Q10" s="2"/>
      <c r="R10" s="2"/>
      <c r="S10" s="2"/>
      <c r="T10" s="2"/>
      <c r="U10" s="2"/>
    </row>
    <row r="11" spans="1:21" ht="18.600000000000001" customHeight="1" x14ac:dyDescent="0.3">
      <c r="A11" s="2"/>
      <c r="B11" s="2"/>
      <c r="C11" s="2"/>
      <c r="D11" s="2"/>
      <c r="E11" s="2"/>
      <c r="F11" s="2"/>
      <c r="G11" s="2"/>
      <c r="H11" s="2"/>
      <c r="I11" s="2"/>
      <c r="J11" s="2"/>
      <c r="K11" s="2"/>
      <c r="L11" s="2"/>
      <c r="M11" s="2"/>
      <c r="N11" s="2"/>
      <c r="O11" s="2"/>
      <c r="P11" s="2"/>
      <c r="Q11" s="2"/>
      <c r="R11" s="2"/>
      <c r="S11" s="2"/>
      <c r="T11" s="2"/>
      <c r="U11" s="2"/>
    </row>
    <row r="12" spans="1:21" ht="18.600000000000001" customHeight="1" x14ac:dyDescent="0.3">
      <c r="A12" s="2"/>
      <c r="B12" s="2"/>
      <c r="C12" s="2"/>
      <c r="D12" s="2"/>
      <c r="E12" s="2"/>
      <c r="F12" s="2"/>
      <c r="G12" s="2"/>
      <c r="H12" s="2"/>
      <c r="I12" s="2"/>
      <c r="J12" s="2"/>
      <c r="K12" s="2"/>
      <c r="L12" s="2"/>
      <c r="M12" s="2"/>
      <c r="N12" s="2"/>
      <c r="O12" s="2"/>
      <c r="P12" s="2"/>
      <c r="Q12" s="2"/>
      <c r="R12" s="2"/>
      <c r="S12" s="2"/>
      <c r="T12" s="2"/>
      <c r="U12" s="2"/>
    </row>
    <row r="13" spans="1:21" ht="18.600000000000001" customHeight="1" x14ac:dyDescent="0.3">
      <c r="A13" s="2"/>
      <c r="B13" s="2"/>
      <c r="C13" s="2"/>
      <c r="D13" s="2"/>
      <c r="E13" s="2"/>
      <c r="F13" s="2"/>
      <c r="G13" s="2"/>
      <c r="H13" s="2"/>
      <c r="I13" s="2"/>
      <c r="J13" s="2"/>
      <c r="K13" s="2"/>
      <c r="L13" s="2"/>
      <c r="M13" s="2"/>
      <c r="N13" s="2"/>
      <c r="O13" s="2"/>
      <c r="P13" s="2"/>
      <c r="Q13" s="2"/>
      <c r="R13" s="2"/>
      <c r="S13" s="2"/>
      <c r="T13" s="2"/>
      <c r="U13" s="2"/>
    </row>
    <row r="14" spans="1:21" ht="18.600000000000001" customHeight="1" x14ac:dyDescent="0.3">
      <c r="A14" s="2"/>
      <c r="B14" s="2"/>
      <c r="C14" s="2"/>
      <c r="D14" s="2"/>
      <c r="E14" s="2"/>
      <c r="F14" s="2"/>
      <c r="G14" s="2"/>
      <c r="H14" s="2"/>
      <c r="I14" s="2"/>
      <c r="J14" s="2"/>
      <c r="K14" s="2"/>
      <c r="L14" s="2"/>
      <c r="M14" s="2"/>
      <c r="N14" s="2"/>
      <c r="O14" s="2"/>
      <c r="P14" s="2"/>
      <c r="Q14" s="2"/>
      <c r="R14" s="2"/>
      <c r="S14" s="2"/>
      <c r="T14" s="2"/>
      <c r="U14" s="2"/>
    </row>
    <row r="15" spans="1:21" ht="18.600000000000001" customHeight="1" x14ac:dyDescent="0.3">
      <c r="A15" s="2"/>
      <c r="B15" s="2"/>
      <c r="C15" s="2"/>
      <c r="D15" s="2"/>
      <c r="E15" s="2"/>
      <c r="F15" s="2"/>
      <c r="G15" s="2"/>
      <c r="H15" s="2"/>
      <c r="I15" s="2"/>
      <c r="J15" s="2"/>
      <c r="K15" s="2"/>
      <c r="L15" s="2"/>
      <c r="M15" s="2"/>
      <c r="N15" s="2"/>
      <c r="O15" s="2"/>
      <c r="P15" s="2"/>
      <c r="Q15" s="2"/>
      <c r="R15" s="2"/>
      <c r="S15" s="2"/>
      <c r="T15" s="2"/>
      <c r="U15" s="2"/>
    </row>
    <row r="16" spans="1:21" ht="18.600000000000001" customHeight="1" x14ac:dyDescent="0.3">
      <c r="A16" s="2"/>
      <c r="B16" s="2"/>
      <c r="C16" s="2"/>
      <c r="D16" s="2"/>
      <c r="E16" s="2"/>
      <c r="F16" s="2"/>
      <c r="G16" s="2"/>
      <c r="H16" s="2"/>
      <c r="I16" s="2"/>
      <c r="J16" s="2"/>
      <c r="K16" s="2"/>
      <c r="L16" s="2"/>
      <c r="M16" s="2"/>
      <c r="N16" s="2"/>
      <c r="O16" s="2"/>
      <c r="P16" s="2"/>
      <c r="Q16" s="2"/>
      <c r="R16" s="2"/>
      <c r="S16" s="2"/>
      <c r="T16" s="2"/>
      <c r="U16" s="2"/>
    </row>
    <row r="17" spans="1:21" ht="18.600000000000001" customHeight="1" x14ac:dyDescent="0.3">
      <c r="A17" s="2"/>
      <c r="B17" s="2"/>
      <c r="C17" s="2"/>
      <c r="D17" s="2"/>
      <c r="E17" s="2"/>
      <c r="F17" s="2"/>
      <c r="G17" s="2"/>
      <c r="H17" s="2"/>
      <c r="I17" s="2"/>
      <c r="J17" s="2"/>
      <c r="K17" s="2"/>
      <c r="L17" s="2"/>
      <c r="M17" s="2"/>
      <c r="N17" s="2"/>
      <c r="O17" s="2"/>
      <c r="P17" s="2"/>
      <c r="Q17" s="2"/>
      <c r="R17" s="2"/>
      <c r="S17" s="2"/>
      <c r="T17" s="2"/>
      <c r="U17" s="2"/>
    </row>
    <row r="18" spans="1:21" ht="18.600000000000001" customHeight="1" x14ac:dyDescent="0.3">
      <c r="A18" s="2"/>
      <c r="B18" s="2"/>
      <c r="C18" s="2"/>
      <c r="D18" s="2"/>
      <c r="E18" s="2"/>
      <c r="F18" s="2"/>
      <c r="G18" s="2"/>
      <c r="H18" s="2"/>
      <c r="I18" s="2"/>
      <c r="J18" s="2"/>
      <c r="K18" s="2"/>
      <c r="L18" s="2"/>
      <c r="M18" s="2"/>
      <c r="N18" s="2"/>
      <c r="O18" s="2"/>
      <c r="P18" s="2"/>
      <c r="Q18" s="2"/>
      <c r="R18" s="2"/>
      <c r="S18" s="2"/>
      <c r="T18" s="2"/>
      <c r="U18" s="2"/>
    </row>
    <row r="19" spans="1:21" ht="18.600000000000001" customHeight="1" x14ac:dyDescent="0.3">
      <c r="A19" s="2"/>
      <c r="B19" s="2"/>
      <c r="C19" s="2"/>
      <c r="D19" s="2"/>
      <c r="E19" s="2"/>
      <c r="F19" s="2"/>
      <c r="G19" s="2"/>
      <c r="H19" s="2"/>
      <c r="I19" s="2"/>
      <c r="J19" s="2"/>
      <c r="K19" s="2"/>
      <c r="L19" s="2"/>
      <c r="M19" s="2"/>
      <c r="N19" s="2"/>
      <c r="O19" s="2"/>
      <c r="P19" s="2"/>
      <c r="Q19" s="2"/>
      <c r="R19" s="2"/>
      <c r="S19" s="2"/>
      <c r="T19" s="2"/>
      <c r="U19" s="2"/>
    </row>
    <row r="20" spans="1:21" ht="18.600000000000001" customHeight="1" x14ac:dyDescent="0.3">
      <c r="A20" s="2"/>
      <c r="B20" s="2"/>
      <c r="C20" s="2"/>
      <c r="D20" s="2"/>
      <c r="E20" s="2"/>
      <c r="F20" s="2"/>
      <c r="G20" s="2"/>
      <c r="H20" s="2"/>
      <c r="I20" s="2"/>
      <c r="J20" s="2"/>
      <c r="K20" s="2"/>
      <c r="L20" s="2"/>
      <c r="M20" s="2"/>
      <c r="N20" s="2"/>
      <c r="O20" s="2"/>
      <c r="P20" s="2"/>
      <c r="Q20" s="2"/>
      <c r="R20" s="2"/>
      <c r="S20" s="2"/>
      <c r="T20" s="2"/>
      <c r="U20" s="2"/>
    </row>
    <row r="21" spans="1:21" ht="18.600000000000001" customHeight="1" x14ac:dyDescent="0.3">
      <c r="A21" s="2"/>
      <c r="B21" s="2"/>
      <c r="C21" s="2"/>
      <c r="D21" s="2"/>
      <c r="E21" s="2"/>
      <c r="F21" s="2"/>
      <c r="G21" s="2"/>
      <c r="H21" s="2"/>
      <c r="I21" s="2"/>
      <c r="J21" s="2"/>
      <c r="K21" s="2"/>
      <c r="L21" s="2"/>
      <c r="M21" s="2"/>
      <c r="N21" s="2"/>
      <c r="O21" s="2"/>
      <c r="P21" s="2"/>
      <c r="Q21" s="2"/>
      <c r="R21" s="2"/>
      <c r="S21" s="2"/>
      <c r="T21" s="2"/>
      <c r="U21" s="2"/>
    </row>
    <row r="22" spans="1:21" ht="18.600000000000001" customHeight="1" x14ac:dyDescent="0.3">
      <c r="A22" s="2"/>
      <c r="B22" s="2"/>
      <c r="C22" s="2"/>
      <c r="D22" s="2"/>
      <c r="E22" s="2"/>
      <c r="F22" s="2"/>
      <c r="G22" s="2"/>
      <c r="H22" s="2"/>
      <c r="I22" s="2"/>
      <c r="J22" s="2"/>
      <c r="K22" s="2"/>
      <c r="L22" s="2"/>
      <c r="M22" s="2"/>
      <c r="N22" s="2"/>
      <c r="O22" s="2"/>
      <c r="P22" s="2"/>
      <c r="Q22" s="2"/>
      <c r="R22" s="2"/>
      <c r="S22" s="2"/>
      <c r="T22" s="2"/>
      <c r="U22" s="2"/>
    </row>
    <row r="23" spans="1:21" ht="18.600000000000001" customHeight="1" x14ac:dyDescent="0.3">
      <c r="A23" s="2"/>
      <c r="B23" s="2"/>
      <c r="C23" s="2"/>
      <c r="D23" s="2"/>
      <c r="E23" s="2"/>
      <c r="F23" s="2"/>
      <c r="G23" s="2"/>
      <c r="H23" s="2"/>
      <c r="I23" s="2"/>
      <c r="J23" s="2"/>
      <c r="K23" s="2"/>
      <c r="L23" s="2"/>
      <c r="M23" s="2"/>
      <c r="N23" s="2"/>
      <c r="O23" s="2"/>
      <c r="P23" s="2"/>
      <c r="Q23" s="2"/>
      <c r="R23" s="2"/>
      <c r="S23" s="2"/>
      <c r="T23" s="2"/>
      <c r="U23" s="2"/>
    </row>
    <row r="24" spans="1:21" ht="18.600000000000001" customHeight="1" x14ac:dyDescent="0.3">
      <c r="A24" s="2"/>
      <c r="B24" s="2"/>
      <c r="C24" s="2"/>
      <c r="D24" s="2"/>
      <c r="E24" s="2"/>
      <c r="F24" s="2"/>
      <c r="G24" s="2"/>
      <c r="H24" s="2"/>
      <c r="I24" s="2"/>
      <c r="J24" s="2"/>
      <c r="K24" s="2"/>
      <c r="L24" s="2"/>
      <c r="M24" s="2"/>
      <c r="N24" s="2"/>
      <c r="O24" s="2"/>
      <c r="P24" s="2"/>
      <c r="Q24" s="2"/>
      <c r="R24" s="2"/>
      <c r="S24" s="2"/>
      <c r="T24" s="2"/>
      <c r="U24" s="2"/>
    </row>
    <row r="25" spans="1:21" ht="18.600000000000001" customHeight="1" x14ac:dyDescent="0.3">
      <c r="A25" s="2"/>
      <c r="B25" s="2"/>
      <c r="C25" s="2"/>
      <c r="D25" s="2"/>
      <c r="E25" s="2"/>
      <c r="F25" s="2"/>
      <c r="G25" s="2"/>
      <c r="H25" s="2"/>
      <c r="I25" s="2"/>
      <c r="J25" s="2"/>
      <c r="K25" s="2"/>
      <c r="L25" s="2"/>
      <c r="M25" s="2"/>
      <c r="N25" s="2"/>
      <c r="O25" s="2"/>
      <c r="P25" s="2"/>
      <c r="Q25" s="2"/>
      <c r="R25" s="2"/>
      <c r="S25" s="2"/>
      <c r="T25" s="2"/>
      <c r="U25" s="2"/>
    </row>
    <row r="26" spans="1:21" ht="18.600000000000001" customHeight="1" x14ac:dyDescent="0.3">
      <c r="A26" s="2"/>
      <c r="B26" s="2"/>
      <c r="C26" s="2"/>
      <c r="D26" s="2"/>
      <c r="E26" s="2"/>
      <c r="F26" s="2"/>
      <c r="G26" s="2"/>
      <c r="H26" s="2"/>
      <c r="I26" s="2"/>
      <c r="J26" s="2"/>
      <c r="K26" s="2"/>
      <c r="L26" s="2"/>
      <c r="M26" s="2"/>
      <c r="N26" s="2"/>
      <c r="O26" s="2"/>
      <c r="P26" s="2"/>
      <c r="Q26" s="2"/>
      <c r="R26" s="2"/>
      <c r="S26" s="2"/>
      <c r="T26" s="2"/>
      <c r="U26"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F6739-3072-4ADA-9A37-E32CB869A394}">
  <dimension ref="A1:Q24"/>
  <sheetViews>
    <sheetView workbookViewId="0"/>
  </sheetViews>
  <sheetFormatPr defaultRowHeight="14.4" x14ac:dyDescent="0.3"/>
  <sheetData>
    <row r="1" spans="1:17" x14ac:dyDescent="0.3">
      <c r="A1" s="5"/>
      <c r="B1" s="5"/>
      <c r="C1" s="5"/>
      <c r="D1" s="5"/>
      <c r="E1" s="5"/>
      <c r="F1" s="5"/>
      <c r="G1" s="5"/>
      <c r="H1" s="5"/>
      <c r="I1" s="5"/>
      <c r="J1" s="5"/>
      <c r="K1" s="5"/>
      <c r="L1" s="5"/>
      <c r="M1" s="5"/>
      <c r="N1" s="5"/>
      <c r="O1" s="5"/>
      <c r="P1" s="5"/>
      <c r="Q1" s="5"/>
    </row>
    <row r="2" spans="1:17" x14ac:dyDescent="0.3">
      <c r="A2" s="5"/>
      <c r="B2" s="5"/>
      <c r="C2" s="5"/>
      <c r="D2" s="5"/>
      <c r="E2" s="5"/>
      <c r="F2" s="5"/>
      <c r="G2" s="5"/>
      <c r="H2" s="5"/>
      <c r="I2" s="5"/>
      <c r="J2" s="5"/>
      <c r="K2" s="5"/>
      <c r="L2" s="5"/>
      <c r="M2" s="5"/>
      <c r="N2" s="5"/>
      <c r="O2" s="5"/>
      <c r="P2" s="5"/>
      <c r="Q2" s="5"/>
    </row>
    <row r="3" spans="1:17" x14ac:dyDescent="0.3">
      <c r="A3" s="5"/>
      <c r="B3" s="5"/>
      <c r="C3" s="5"/>
      <c r="D3" s="5"/>
      <c r="E3" s="5"/>
      <c r="F3" s="5"/>
      <c r="G3" s="5"/>
      <c r="H3" s="5"/>
      <c r="I3" s="5"/>
      <c r="J3" s="5"/>
      <c r="K3" s="5"/>
      <c r="L3" s="5"/>
      <c r="M3" s="5"/>
      <c r="N3" s="5"/>
      <c r="O3" s="5"/>
      <c r="P3" s="5"/>
      <c r="Q3" s="5"/>
    </row>
    <row r="4" spans="1:17" x14ac:dyDescent="0.3">
      <c r="A4" s="5"/>
      <c r="B4" s="5"/>
      <c r="C4" s="5"/>
      <c r="D4" s="5"/>
      <c r="E4" s="5"/>
      <c r="F4" s="5"/>
      <c r="G4" s="5"/>
      <c r="H4" s="5"/>
      <c r="I4" s="5"/>
      <c r="J4" s="5"/>
      <c r="K4" s="5"/>
      <c r="L4" s="5"/>
      <c r="M4" s="5"/>
      <c r="N4" s="5"/>
      <c r="O4" s="5"/>
      <c r="P4" s="5"/>
      <c r="Q4" s="5"/>
    </row>
    <row r="5" spans="1:17" x14ac:dyDescent="0.3">
      <c r="A5" s="5"/>
      <c r="B5" s="5"/>
      <c r="C5" s="5"/>
      <c r="D5" s="5"/>
      <c r="E5" s="5"/>
      <c r="F5" s="5"/>
      <c r="G5" s="5"/>
      <c r="H5" s="5"/>
      <c r="I5" s="5"/>
      <c r="J5" s="5"/>
      <c r="K5" s="5"/>
      <c r="L5" s="5"/>
      <c r="M5" s="5"/>
      <c r="N5" s="5"/>
      <c r="O5" s="5"/>
      <c r="P5" s="5"/>
      <c r="Q5" s="5"/>
    </row>
    <row r="6" spans="1:17" x14ac:dyDescent="0.3">
      <c r="A6" s="5"/>
      <c r="B6" s="5"/>
      <c r="C6" s="5"/>
      <c r="D6" s="5"/>
      <c r="E6" s="5"/>
      <c r="F6" s="5"/>
      <c r="G6" s="5"/>
      <c r="H6" s="5"/>
      <c r="I6" s="5"/>
      <c r="J6" s="5"/>
      <c r="K6" s="5"/>
      <c r="L6" s="5"/>
      <c r="M6" s="5"/>
      <c r="N6" s="5"/>
      <c r="O6" s="5"/>
      <c r="P6" s="5"/>
      <c r="Q6" s="5"/>
    </row>
    <row r="7" spans="1:17" x14ac:dyDescent="0.3">
      <c r="A7" s="5"/>
      <c r="B7" s="5"/>
      <c r="C7" s="5"/>
      <c r="D7" s="5"/>
      <c r="E7" s="5"/>
      <c r="F7" s="5"/>
      <c r="G7" s="5"/>
      <c r="H7" s="5"/>
      <c r="I7" s="5"/>
      <c r="J7" s="5"/>
      <c r="K7" s="5"/>
      <c r="L7" s="5"/>
      <c r="M7" s="5"/>
      <c r="N7" s="5"/>
      <c r="O7" s="5"/>
      <c r="P7" s="5"/>
      <c r="Q7" s="5"/>
    </row>
    <row r="8" spans="1:17" x14ac:dyDescent="0.3">
      <c r="A8" s="5"/>
      <c r="B8" s="5"/>
      <c r="C8" s="5"/>
      <c r="D8" s="5"/>
      <c r="E8" s="5"/>
      <c r="F8" s="5"/>
      <c r="G8" s="5"/>
      <c r="H8" s="5"/>
      <c r="I8" s="5"/>
      <c r="J8" s="5"/>
      <c r="K8" s="5"/>
      <c r="L8" s="5"/>
      <c r="M8" s="5"/>
      <c r="N8" s="5"/>
      <c r="O8" s="5"/>
      <c r="P8" s="5"/>
      <c r="Q8" s="5"/>
    </row>
    <row r="9" spans="1:17" x14ac:dyDescent="0.3">
      <c r="A9" s="5"/>
      <c r="B9" s="5"/>
      <c r="C9" s="5"/>
      <c r="D9" s="5"/>
      <c r="E9" s="5"/>
      <c r="F9" s="5"/>
      <c r="G9" s="5"/>
      <c r="H9" s="5"/>
      <c r="I9" s="5"/>
      <c r="J9" s="5"/>
      <c r="K9" s="5"/>
      <c r="L9" s="5"/>
      <c r="M9" s="5"/>
      <c r="N9" s="5"/>
      <c r="O9" s="5"/>
      <c r="P9" s="5"/>
      <c r="Q9" s="5"/>
    </row>
    <row r="10" spans="1:17" x14ac:dyDescent="0.3">
      <c r="A10" s="5"/>
      <c r="B10" s="5"/>
      <c r="C10" s="5"/>
      <c r="D10" s="5"/>
      <c r="E10" s="5"/>
      <c r="F10" s="5"/>
      <c r="G10" s="5"/>
      <c r="H10" s="5"/>
      <c r="I10" s="5"/>
      <c r="J10" s="5"/>
      <c r="K10" s="5"/>
      <c r="L10" s="5"/>
      <c r="M10" s="5"/>
      <c r="N10" s="5"/>
      <c r="O10" s="5"/>
      <c r="P10" s="5"/>
      <c r="Q10" s="5"/>
    </row>
    <row r="11" spans="1:17" x14ac:dyDescent="0.3">
      <c r="A11" s="5"/>
      <c r="B11" s="5"/>
      <c r="C11" s="5"/>
      <c r="D11" s="5"/>
      <c r="E11" s="5"/>
      <c r="F11" s="5"/>
      <c r="G11" s="5"/>
      <c r="H11" s="5"/>
      <c r="I11" s="5"/>
      <c r="J11" s="5"/>
      <c r="K11" s="5"/>
      <c r="L11" s="5"/>
      <c r="M11" s="5"/>
      <c r="N11" s="5"/>
      <c r="O11" s="5"/>
      <c r="P11" s="5"/>
      <c r="Q11" s="5"/>
    </row>
    <row r="12" spans="1:17" x14ac:dyDescent="0.3">
      <c r="A12" s="5"/>
      <c r="B12" s="5"/>
      <c r="C12" s="5"/>
      <c r="D12" s="5"/>
      <c r="E12" s="5"/>
      <c r="F12" s="5"/>
      <c r="G12" s="5"/>
      <c r="H12" s="5"/>
      <c r="I12" s="5"/>
      <c r="J12" s="5"/>
      <c r="K12" s="5"/>
      <c r="L12" s="5"/>
      <c r="M12" s="5"/>
      <c r="N12" s="5"/>
      <c r="O12" s="5"/>
      <c r="P12" s="5"/>
      <c r="Q12" s="5"/>
    </row>
    <row r="13" spans="1:17" x14ac:dyDescent="0.3">
      <c r="A13" s="5"/>
      <c r="B13" s="5"/>
      <c r="C13" s="5"/>
      <c r="D13" s="5"/>
      <c r="E13" s="5"/>
      <c r="F13" s="5"/>
      <c r="G13" s="5"/>
      <c r="H13" s="5"/>
      <c r="I13" s="5"/>
      <c r="J13" s="5"/>
      <c r="K13" s="5"/>
      <c r="L13" s="5"/>
      <c r="M13" s="5"/>
      <c r="N13" s="5"/>
      <c r="O13" s="5"/>
      <c r="P13" s="5"/>
      <c r="Q13" s="5"/>
    </row>
    <row r="14" spans="1:17" x14ac:dyDescent="0.3">
      <c r="A14" s="5"/>
      <c r="B14" s="5"/>
      <c r="C14" s="5"/>
      <c r="D14" s="5"/>
      <c r="E14" s="5"/>
      <c r="F14" s="5"/>
      <c r="G14" s="5"/>
      <c r="H14" s="5"/>
      <c r="I14" s="5"/>
      <c r="J14" s="5"/>
      <c r="K14" s="5"/>
      <c r="L14" s="5"/>
      <c r="M14" s="5"/>
      <c r="N14" s="5"/>
      <c r="O14" s="5"/>
      <c r="P14" s="5"/>
      <c r="Q14" s="5"/>
    </row>
    <row r="15" spans="1:17" x14ac:dyDescent="0.3">
      <c r="A15" s="5"/>
      <c r="B15" s="5"/>
      <c r="C15" s="5"/>
      <c r="D15" s="5"/>
      <c r="E15" s="5"/>
      <c r="F15" s="5"/>
      <c r="G15" s="5"/>
      <c r="H15" s="5"/>
      <c r="I15" s="5"/>
      <c r="J15" s="5"/>
      <c r="K15" s="5"/>
      <c r="L15" s="5"/>
      <c r="M15" s="5"/>
      <c r="N15" s="5"/>
      <c r="O15" s="5"/>
      <c r="P15" s="5"/>
      <c r="Q15" s="5"/>
    </row>
    <row r="16" spans="1:17" x14ac:dyDescent="0.3">
      <c r="A16" s="5"/>
      <c r="B16" s="5"/>
      <c r="C16" s="5"/>
      <c r="D16" s="5"/>
      <c r="E16" s="5"/>
      <c r="F16" s="5"/>
      <c r="G16" s="5"/>
      <c r="H16" s="5"/>
      <c r="I16" s="5"/>
      <c r="J16" s="5"/>
      <c r="K16" s="5"/>
      <c r="L16" s="5"/>
      <c r="M16" s="5"/>
      <c r="N16" s="5"/>
      <c r="O16" s="5"/>
      <c r="P16" s="5"/>
      <c r="Q16" s="5"/>
    </row>
    <row r="17" spans="1:17" x14ac:dyDescent="0.3">
      <c r="A17" s="5"/>
      <c r="B17" s="5"/>
      <c r="C17" s="5"/>
      <c r="D17" s="5"/>
      <c r="E17" s="5"/>
      <c r="F17" s="5"/>
      <c r="G17" s="5"/>
      <c r="H17" s="5"/>
      <c r="I17" s="5"/>
      <c r="J17" s="5"/>
      <c r="K17" s="5"/>
      <c r="L17" s="5"/>
      <c r="M17" s="5"/>
      <c r="N17" s="5"/>
      <c r="O17" s="5"/>
      <c r="P17" s="5"/>
      <c r="Q17" s="5"/>
    </row>
    <row r="18" spans="1:17" x14ac:dyDescent="0.3">
      <c r="A18" s="5"/>
      <c r="B18" s="5"/>
      <c r="C18" s="5"/>
      <c r="D18" s="5"/>
      <c r="E18" s="5"/>
      <c r="F18" s="5"/>
      <c r="G18" s="5"/>
      <c r="H18" s="5"/>
      <c r="I18" s="5"/>
      <c r="J18" s="5"/>
      <c r="K18" s="5"/>
      <c r="L18" s="5"/>
      <c r="M18" s="5"/>
      <c r="N18" s="5"/>
      <c r="O18" s="5"/>
      <c r="P18" s="5"/>
      <c r="Q18" s="5"/>
    </row>
    <row r="19" spans="1:17" x14ac:dyDescent="0.3">
      <c r="A19" s="5"/>
      <c r="B19" s="5"/>
      <c r="C19" s="5"/>
      <c r="D19" s="5"/>
      <c r="E19" s="5"/>
      <c r="F19" s="5"/>
      <c r="G19" s="5"/>
      <c r="H19" s="5"/>
      <c r="I19" s="5"/>
      <c r="J19" s="5"/>
      <c r="K19" s="5"/>
      <c r="L19" s="5"/>
      <c r="M19" s="5"/>
      <c r="N19" s="5"/>
      <c r="O19" s="5"/>
      <c r="P19" s="5"/>
      <c r="Q19" s="5"/>
    </row>
    <row r="20" spans="1:17" x14ac:dyDescent="0.3">
      <c r="A20" s="5"/>
      <c r="B20" s="5"/>
      <c r="C20" s="5"/>
      <c r="D20" s="5"/>
      <c r="E20" s="5"/>
      <c r="F20" s="5"/>
      <c r="G20" s="5"/>
      <c r="H20" s="5"/>
      <c r="I20" s="5"/>
      <c r="J20" s="5"/>
      <c r="K20" s="5"/>
      <c r="L20" s="5"/>
      <c r="M20" s="5"/>
      <c r="N20" s="5"/>
      <c r="O20" s="5"/>
      <c r="P20" s="5"/>
      <c r="Q20" s="5"/>
    </row>
    <row r="21" spans="1:17" x14ac:dyDescent="0.3">
      <c r="A21" s="5"/>
      <c r="B21" s="5"/>
      <c r="C21" s="5"/>
      <c r="D21" s="5"/>
      <c r="E21" s="5"/>
      <c r="F21" s="5"/>
      <c r="G21" s="5"/>
      <c r="H21" s="5"/>
      <c r="I21" s="5"/>
      <c r="J21" s="5"/>
      <c r="K21" s="5"/>
      <c r="L21" s="5"/>
      <c r="M21" s="5"/>
      <c r="N21" s="5"/>
      <c r="O21" s="5"/>
      <c r="P21" s="5"/>
      <c r="Q21" s="5"/>
    </row>
    <row r="22" spans="1:17" x14ac:dyDescent="0.3">
      <c r="A22" s="5"/>
      <c r="B22" s="5"/>
      <c r="C22" s="5"/>
      <c r="D22" s="5"/>
      <c r="E22" s="5"/>
      <c r="F22" s="5"/>
      <c r="G22" s="5"/>
      <c r="H22" s="5"/>
      <c r="I22" s="5"/>
      <c r="J22" s="5"/>
      <c r="K22" s="5"/>
      <c r="L22" s="5"/>
      <c r="M22" s="5"/>
      <c r="N22" s="5"/>
      <c r="O22" s="5"/>
      <c r="P22" s="5"/>
      <c r="Q22" s="5"/>
    </row>
    <row r="23" spans="1:17" x14ac:dyDescent="0.3">
      <c r="A23" s="5"/>
      <c r="B23" s="5"/>
      <c r="C23" s="5"/>
      <c r="D23" s="5"/>
      <c r="E23" s="5"/>
      <c r="F23" s="5"/>
      <c r="G23" s="5"/>
      <c r="H23" s="5"/>
      <c r="I23" s="5"/>
      <c r="J23" s="5"/>
      <c r="K23" s="5"/>
      <c r="L23" s="5"/>
      <c r="M23" s="5"/>
      <c r="N23" s="5"/>
      <c r="O23" s="5"/>
      <c r="P23" s="5"/>
      <c r="Q23" s="5"/>
    </row>
    <row r="24" spans="1:17" x14ac:dyDescent="0.3">
      <c r="A24" s="5"/>
      <c r="B24" s="5"/>
      <c r="C24" s="5"/>
      <c r="D24" s="5"/>
      <c r="E24" s="5"/>
      <c r="F24" s="5"/>
      <c r="G24" s="5"/>
      <c r="H24" s="5"/>
      <c r="I24" s="5"/>
      <c r="J24" s="5"/>
      <c r="K24" s="5"/>
      <c r="L24" s="5"/>
      <c r="M24" s="5"/>
      <c r="N24" s="5"/>
      <c r="O24" s="5"/>
      <c r="P24" s="5"/>
      <c r="Q24"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0EBDA-18CF-47B3-9DE5-962FD8B0FC98}">
  <dimension ref="A1:S27"/>
  <sheetViews>
    <sheetView workbookViewId="0"/>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4F693-0AB8-4265-BF46-D1CF01EDB7DE}">
  <dimension ref="A1:S29"/>
  <sheetViews>
    <sheetView workbookViewId="0"/>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row r="28" spans="1:19" x14ac:dyDescent="0.3">
      <c r="A28" s="5"/>
      <c r="B28" s="5"/>
      <c r="C28" s="5"/>
      <c r="D28" s="5"/>
      <c r="E28" s="5"/>
      <c r="F28" s="5"/>
      <c r="G28" s="5"/>
      <c r="H28" s="5"/>
      <c r="I28" s="5"/>
      <c r="J28" s="5"/>
      <c r="K28" s="5"/>
      <c r="L28" s="5"/>
      <c r="M28" s="5"/>
      <c r="N28" s="5"/>
      <c r="O28" s="5"/>
      <c r="P28" s="5"/>
      <c r="Q28" s="5"/>
      <c r="R28" s="5"/>
      <c r="S28" s="5"/>
    </row>
    <row r="29" spans="1:19" x14ac:dyDescent="0.3">
      <c r="A29" s="5"/>
      <c r="B29" s="5"/>
      <c r="C29" s="5"/>
      <c r="D29" s="5"/>
      <c r="E29" s="5"/>
      <c r="F29" s="5"/>
      <c r="G29" s="5"/>
      <c r="H29" s="5"/>
      <c r="I29" s="5"/>
      <c r="J29" s="5"/>
      <c r="K29" s="5"/>
      <c r="L29" s="5"/>
      <c r="M29" s="5"/>
      <c r="N29" s="5"/>
      <c r="O29" s="5"/>
      <c r="P29" s="5"/>
      <c r="Q29" s="5"/>
      <c r="R29" s="5"/>
      <c r="S29"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A4F2667-87F3-4E88-9168-6F32E0031DEC}">
  <ds:schemaRefs/>
</ds:datastoreItem>
</file>

<file path=customXml/itemProps2.xml><?xml version="1.0" encoding="utf-8"?>
<ds:datastoreItem xmlns:ds="http://schemas.openxmlformats.org/officeDocument/2006/customXml" ds:itemID="{DFC9F933-95ED-4B60-B9AA-D88002365298}">
  <ds:schemaRefs/>
</ds:datastoreItem>
</file>

<file path=customXml/itemProps3.xml><?xml version="1.0" encoding="utf-8"?>
<ds:datastoreItem xmlns:ds="http://schemas.openxmlformats.org/officeDocument/2006/customXml" ds:itemID="{C4416319-C6CD-4F74-933E-9981F8C379DF}">
  <ds:schemaRefs/>
</ds:datastoreItem>
</file>

<file path=customXml/itemProps4.xml><?xml version="1.0" encoding="utf-8"?>
<ds:datastoreItem xmlns:ds="http://schemas.openxmlformats.org/officeDocument/2006/customXml" ds:itemID="{73BAA874-2D25-4C47-8E4C-DE149A41A0C2}">
  <ds:schemaRefs>
    <ds:schemaRef ds:uri="http://schemas.microsoft.com/DataMashup"/>
  </ds:schemaRefs>
</ds:datastoreItem>
</file>

<file path=customXml/itemProps5.xml><?xml version="1.0" encoding="utf-8"?>
<ds:datastoreItem xmlns:ds="http://schemas.openxmlformats.org/officeDocument/2006/customXml" ds:itemID="{2168881D-3CB9-49EA-8470-531DB51EE2DC}">
  <ds:schemaRefs/>
</ds:datastoreItem>
</file>

<file path=customXml/itemProps6.xml><?xml version="1.0" encoding="utf-8"?>
<ds:datastoreItem xmlns:ds="http://schemas.openxmlformats.org/officeDocument/2006/customXml" ds:itemID="{FB8469C5-DAA4-4E21-AF61-9E62057EBF85}">
  <ds:schemaRefs/>
</ds:datastoreItem>
</file>

<file path=customXml/itemProps7.xml><?xml version="1.0" encoding="utf-8"?>
<ds:datastoreItem xmlns:ds="http://schemas.openxmlformats.org/officeDocument/2006/customXml" ds:itemID="{233FB215-D391-44CC-9ABA-04DF6403FC0D}">
  <ds:schemaRefs/>
</ds:datastoreItem>
</file>

<file path=customXml/itemProps8.xml><?xml version="1.0" encoding="utf-8"?>
<ds:datastoreItem xmlns:ds="http://schemas.openxmlformats.org/officeDocument/2006/customXml" ds:itemID="{89A0CFF0-FF73-4279-8920-DA01472F8AAA}">
  <ds:schemaRefs/>
</ds:datastoreItem>
</file>

<file path=customXml/itemProps9.xml><?xml version="1.0" encoding="utf-8"?>
<ds:datastoreItem xmlns:ds="http://schemas.openxmlformats.org/officeDocument/2006/customXml" ds:itemID="{616D27A8-F23E-43F1-84C5-A2B978DB1184}">
  <ds:schemaRefs/>
</ds:datastoreItem>
</file>

<file path=customXml/itemProps10.xml><?xml version="1.0" encoding="utf-8"?>
<ds:datastoreItem xmlns:ds="http://schemas.openxmlformats.org/officeDocument/2006/customXml" ds:itemID="{6BA0BE58-CBB9-4A0C-9356-A586B9A6F7E8}">
  <ds:schemaRefs/>
</ds:datastoreItem>
</file>

<file path=customXml/itemProps11.xml><?xml version="1.0" encoding="utf-8"?>
<ds:datastoreItem xmlns:ds="http://schemas.openxmlformats.org/officeDocument/2006/customXml" ds:itemID="{D88BCE41-145C-4FB8-9A30-4040CA766877}">
  <ds:schemaRefs/>
</ds:datastoreItem>
</file>

<file path=customXml/itemProps12.xml><?xml version="1.0" encoding="utf-8"?>
<ds:datastoreItem xmlns:ds="http://schemas.openxmlformats.org/officeDocument/2006/customXml" ds:itemID="{36079F17-07FE-4C76-ABCE-1B8A346AF2CF}">
  <ds:schemaRefs/>
</ds:datastoreItem>
</file>

<file path=customXml/itemProps13.xml><?xml version="1.0" encoding="utf-8"?>
<ds:datastoreItem xmlns:ds="http://schemas.openxmlformats.org/officeDocument/2006/customXml" ds:itemID="{FD2BF8ED-10F2-418F-84CB-5444B3F682E6}">
  <ds:schemaRefs/>
</ds:datastoreItem>
</file>

<file path=customXml/itemProps14.xml><?xml version="1.0" encoding="utf-8"?>
<ds:datastoreItem xmlns:ds="http://schemas.openxmlformats.org/officeDocument/2006/customXml" ds:itemID="{506C3998-69DB-4F2D-8F0C-49198952B80C}">
  <ds:schemaRefs/>
</ds:datastoreItem>
</file>

<file path=customXml/itemProps15.xml><?xml version="1.0" encoding="utf-8"?>
<ds:datastoreItem xmlns:ds="http://schemas.openxmlformats.org/officeDocument/2006/customXml" ds:itemID="{66656658-B9A7-486A-B3BF-9C98B406DFEE}">
  <ds:schemaRefs/>
</ds:datastoreItem>
</file>

<file path=customXml/itemProps16.xml><?xml version="1.0" encoding="utf-8"?>
<ds:datastoreItem xmlns:ds="http://schemas.openxmlformats.org/officeDocument/2006/customXml" ds:itemID="{479A0C4E-F550-4699-AD0B-16C06557617D}">
  <ds:schemaRefs/>
</ds:datastoreItem>
</file>

<file path=customXml/itemProps17.xml><?xml version="1.0" encoding="utf-8"?>
<ds:datastoreItem xmlns:ds="http://schemas.openxmlformats.org/officeDocument/2006/customXml" ds:itemID="{7183FC79-F085-42B8-A72A-347223BEEEF1}">
  <ds:schemaRefs/>
</ds:datastoreItem>
</file>

<file path=customXml/itemProps18.xml><?xml version="1.0" encoding="utf-8"?>
<ds:datastoreItem xmlns:ds="http://schemas.openxmlformats.org/officeDocument/2006/customXml" ds:itemID="{B2B9EAD3-11D9-4392-AFB8-02DC812FDC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Patient wait time</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subba reddy</dc:creator>
  <cp:lastModifiedBy>subba reddy</cp:lastModifiedBy>
  <dcterms:created xsi:type="dcterms:W3CDTF">2026-06-24T15:16:00Z</dcterms:created>
  <dcterms:modified xsi:type="dcterms:W3CDTF">2026-06-26T04:16:02Z</dcterms:modified>
</cp:coreProperties>
</file>